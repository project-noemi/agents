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Codex"/>
  <workbookPr defaultThemeVersion="166925"/>
  <bookViews>
    <workbookView xWindow="0" yWindow="0" windowWidth="19200" windowHeight="10800"/>
  </bookViews>
  <sheets>
    <sheet name="00_README" sheetId="1" r:id="rId1"/>
    <sheet name="01_ASSUMPTIONS" sheetId="2" r:id="rId2"/>
    <sheet name="02_TASK_CATALOG" sheetId="3" r:id="rId3"/>
    <sheet name="03_EXECUTION_LOG" sheetId="4" r:id="rId4"/>
    <sheet name="04_ROI_AUDIT" sheetId="5" r:id="rId5"/>
    <sheet name="05_INVESTMENT" sheetId="6" r:id="rId6"/>
    <sheet name="06_DASHBOARD" sheetId="7" r:id="rId7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6"/>
  <sheetViews>
    <sheetView workbookViewId="0"/>
  </sheetViews>
  <sheetFormatPr defaultRowHeight="15"/>
  <sheetData>
    <row r="1">
      <c r="A1" t="inlineStr" s="1">
        <is>
          <t>Project NoeMI ROI Calculator Template</t>
        </is>
      </c>
      <c r="B1" t="inlineStr" s="1">
        <is>
          <t/>
        </is>
      </c>
      <c r="C1" t="inlineStr" s="1">
        <is>
          <t/>
        </is>
      </c>
    </row>
    <row r="2">
      <c r="A2" t="inlineStr">
        <is>
          <t>Field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deployment_name</t>
        </is>
      </c>
      <c r="B3" t="inlineStr">
        <is>
          <t>Template deployment</t>
        </is>
      </c>
      <c r="C3" t="inlineStr">
        <is>
          <t>Rename per client or internal program copy.</t>
        </is>
      </c>
    </row>
    <row r="4">
      <c r="A4" t="inlineStr">
        <is>
          <t>client_name</t>
        </is>
      </c>
      <c r="B4" t="inlineStr">
        <is>
          <t>Template client</t>
        </is>
      </c>
      <c r="C4" t="inlineStr">
        <is>
          <t>Use example data only in the public template.</t>
        </is>
      </c>
    </row>
    <row r="5">
      <c r="A5" t="inlineStr">
        <is>
          <t>owner</t>
        </is>
      </c>
      <c r="B5" t="inlineStr">
        <is>
          <t>Program owner</t>
        </is>
      </c>
      <c r="C5" t="inlineStr">
        <is>
          <t>Set the accountable operator or Accelerator.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Use one currency per workbook copy.</t>
        </is>
      </c>
    </row>
    <row r="7">
      <c r="A7" t="inlineStr">
        <is>
          <t>review_cadence</t>
        </is>
      </c>
      <c r="B7" t="inlineStr">
        <is>
          <t>Monthly</t>
        </is>
      </c>
      <c r="C7" t="inlineStr">
        <is>
          <t>Review with operators and executive stakeholders.</t>
        </is>
      </c>
    </row>
    <row r="8">
      <c r="A8" t="inlineStr">
        <is>
          <t>baseline_last_approved_on</t>
        </is>
      </c>
      <c r="B8" t="inlineStr">
        <is>
          <t>2026-04-03</t>
        </is>
      </c>
      <c r="C8" t="inlineStr">
        <is>
          <t>Refresh whenever assumptions change.</t>
        </is>
      </c>
    </row>
    <row r="9">
      <c r="A9" t="inlineStr">
        <is>
          <t>generated_on</t>
        </is>
      </c>
      <c r="B9" t="inlineStr">
        <is>
          <t>2026-04-03</t>
        </is>
      </c>
      <c r="C9" t="inlineStr">
        <is>
          <t>Workbook artifact generated from repo source.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</row>
    <row r="11">
      <c r="A11" t="inlineStr">
        <is>
          <t>What this workbook measures</t>
        </is>
      </c>
      <c r="B11" t="inlineStr">
        <is>
          <t>Conservative labor-cost avoidance and net ROI</t>
        </is>
      </c>
      <c r="C11" t="inlineStr">
        <is>
          <t>Only count validated, explainable executions.</t>
        </is>
      </c>
    </row>
    <row r="12">
      <c r="A12" t="inlineStr">
        <is>
          <t>What this workbook does not measure</t>
        </is>
      </c>
      <c r="B12" t="inlineStr">
        <is>
          <t>Speculative value claims or unlogged work</t>
        </is>
      </c>
      <c r="C12" t="inlineStr">
        <is>
          <t>Do not use unverifiable task counts.</t>
        </is>
      </c>
    </row>
    <row r="13">
      <c r="A13" t="inlineStr">
        <is>
          <t>Operating rule</t>
        </is>
      </c>
      <c r="B13" t="inlineStr">
        <is>
          <t>Evidence first</t>
        </is>
      </c>
      <c r="C13" t="inlineStr">
        <is>
          <t>Every included execution should have a traceable source and evidence reference.</t>
        </is>
      </c>
    </row>
    <row r="14">
      <c r="A14" t="inlineStr">
        <is>
          <t>Operating rule</t>
        </is>
      </c>
      <c r="B14" t="inlineStr">
        <is>
          <t>Conservative valuation</t>
        </is>
      </c>
      <c r="C14" t="inlineStr">
        <is>
          <t>Prefer the lower credible baseline when estimates are uncertain.</t>
        </is>
      </c>
    </row>
    <row r="15">
      <c r="A15" t="inlineStr">
        <is>
          <t>Operating rule</t>
        </is>
      </c>
      <c r="B15" t="inlineStr">
        <is>
          <t>No PII or secrets</t>
        </is>
      </c>
      <c r="C15" t="inlineStr">
        <is>
          <t>Execution evidence should never expose credentials or personal data.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</row>
    <row r="17">
      <c r="A17" t="inlineStr">
        <is>
          <t>Template workflow</t>
        </is>
      </c>
      <c r="B17" t="inlineStr">
        <is>
          <t>1. Approve assumptions and task baselines</t>
        </is>
      </c>
      <c r="C17" t="inlineStr">
        <is>
          <t>Protect the assumptions, task catalog, and investment tabs.</t>
        </is>
      </c>
    </row>
    <row r="18">
      <c r="A18" t="inlineStr">
        <is>
          <t>Template workflow</t>
        </is>
      </c>
      <c r="B18" t="inlineStr">
        <is>
          <t>2. Copy the workbook per deployment</t>
        </is>
      </c>
      <c r="C18" t="inlineStr">
        <is>
          <t>Keep the public template as example-only data.</t>
        </is>
      </c>
    </row>
    <row r="19">
      <c r="A19" t="inlineStr">
        <is>
          <t>Template workflow</t>
        </is>
      </c>
      <c r="B19" t="inlineStr">
        <is>
          <t>3. Append validated executions to 03_EXECUTION_LOG</t>
        </is>
      </c>
      <c r="C19" t="inlineStr">
        <is>
          <t>Treat that tab as append-only for automation.</t>
        </is>
      </c>
    </row>
    <row r="20">
      <c r="A20" t="inlineStr">
        <is>
          <t>Template workflow</t>
        </is>
      </c>
      <c r="B20" t="inlineStr">
        <is>
          <t>4. Review 04_ROI_AUDIT exclusions</t>
        </is>
      </c>
      <c r="C20" t="inlineStr">
        <is>
          <t>Do not force excluded rows into ROI without human approval.</t>
        </is>
      </c>
    </row>
    <row r="21">
      <c r="A21" t="inlineStr">
        <is>
          <t>Template workflow</t>
        </is>
      </c>
      <c r="B21" t="inlineStr">
        <is>
          <t>5. Review 06_DASHBOARD monthly</t>
        </is>
      </c>
      <c r="C21" t="inlineStr">
        <is>
          <t>Track both gross cost avoidance and net ROI.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</row>
    <row r="23">
      <c r="A23" t="inlineStr">
        <is>
          <t>Publishing checklist</t>
        </is>
      </c>
      <c r="B23" t="inlineStr">
        <is>
          <t>No internal-only pricing or client data</t>
        </is>
      </c>
      <c r="C23" t="inlineStr">
        <is>
          <t>Keep example rows only in the public template.</t>
        </is>
      </c>
    </row>
    <row r="24">
      <c r="A24" t="inlineStr">
        <is>
          <t>Publishing checklist</t>
        </is>
      </c>
      <c r="B24" t="inlineStr">
        <is>
          <t>No secrets, credentials, or API references</t>
        </is>
      </c>
      <c r="C24" t="inlineStr">
        <is>
          <t>This sheet can be shared publicly.</t>
        </is>
      </c>
    </row>
    <row r="25">
      <c r="A25" t="inlineStr">
        <is>
          <t>Publishing checklist</t>
        </is>
      </c>
      <c r="B25" t="inlineStr">
        <is>
          <t>Protected approval-sensitive tabs</t>
        </is>
      </c>
      <c r="C25" t="inlineStr">
        <is>
          <t>Apply sheet protections after upload to Google Sheets.</t>
        </is>
      </c>
    </row>
    <row r="26">
      <c r="A26" t="inlineStr">
        <is>
          <t>Publishing checklist</t>
        </is>
      </c>
      <c r="B26" t="inlineStr">
        <is>
          <t>Ready for 'Make a copy' workflow</t>
        </is>
      </c>
      <c r="C26" t="inlineStr">
        <is>
          <t>Use the workbook upload to create the public Google Sheets template.</t>
        </is>
      </c>
    </row>
  </sheetData>
</worksheet>
</file>

<file path=xl/worksheets/sheet2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role_id</t>
        </is>
      </c>
      <c r="B1" t="inlineStr" s="1">
        <is>
          <t>human_role</t>
        </is>
      </c>
      <c r="C1" t="inlineStr" s="1">
        <is>
          <t>loaded_hourly_rate</t>
        </is>
      </c>
      <c r="D1" t="inlineStr" s="1">
        <is>
          <t>rate_source</t>
        </is>
      </c>
      <c r="E1" t="inlineStr" s="1">
        <is>
          <t>approved_by</t>
        </is>
      </c>
      <c r="F1" t="inlineStr" s="1">
        <is>
          <t>approved_on</t>
        </is>
      </c>
      <c r="G1" t="inlineStr" s="1">
        <is>
          <t>notes</t>
        </is>
      </c>
    </row>
    <row r="2">
      <c r="A2" t="inlineStr">
        <is>
          <t>engineering_manager</t>
        </is>
      </c>
      <c r="B2" t="inlineStr">
        <is>
          <t>Engineering Manager</t>
        </is>
      </c>
      <c r="C2">
        <v>120</v>
      </c>
      <c r="D2" t="inlineStr">
        <is>
          <t>Illustrative blended internal rate</t>
        </is>
      </c>
      <c r="E2" t="inlineStr">
        <is>
          <t>Accelerator lead</t>
        </is>
      </c>
      <c r="F2" t="inlineStr">
        <is>
          <t>2026-04-03</t>
        </is>
      </c>
      <c r="G2" t="inlineStr">
        <is>
          <t>Replace with approved deployment rate.</t>
        </is>
      </c>
    </row>
    <row r="3">
      <c r="A3" t="inlineStr">
        <is>
          <t>it_ops_engineer</t>
        </is>
      </c>
      <c r="B3" t="inlineStr">
        <is>
          <t>IT Operations Engineer</t>
        </is>
      </c>
      <c r="C3">
        <v>85</v>
      </c>
      <c r="D3" t="inlineStr">
        <is>
          <t>Illustrative blended internal rate</t>
        </is>
      </c>
      <c r="E3" t="inlineStr">
        <is>
          <t>Accelerator lead</t>
        </is>
      </c>
      <c r="F3" t="inlineStr">
        <is>
          <t>2026-04-03</t>
        </is>
      </c>
      <c r="G3" t="inlineStr">
        <is>
          <t>Replace with approved deployment rate.</t>
        </is>
      </c>
    </row>
    <row r="4">
      <c r="A4" t="inlineStr">
        <is>
          <t>knowledge_worker</t>
        </is>
      </c>
      <c r="B4" t="inlineStr">
        <is>
          <t>Knowledge Worker</t>
        </is>
      </c>
      <c r="C4">
        <v>70</v>
      </c>
      <c r="D4" t="inlineStr">
        <is>
          <t>Illustrative blended internal rate</t>
        </is>
      </c>
      <c r="E4" t="inlineStr">
        <is>
          <t>Accelerator lead</t>
        </is>
      </c>
      <c r="F4" t="inlineStr">
        <is>
          <t>2026-04-03</t>
        </is>
      </c>
      <c r="G4" t="inlineStr">
        <is>
          <t>Replace with approved deployment rate.</t>
        </is>
      </c>
    </row>
    <row r="5">
      <c r="A5" t="inlineStr">
        <is>
          <t>marketing_manager</t>
        </is>
      </c>
      <c r="B5" t="inlineStr">
        <is>
          <t>Marketing Manager</t>
        </is>
      </c>
      <c r="C5">
        <v>75</v>
      </c>
      <c r="D5" t="inlineStr">
        <is>
          <t>Illustrative blended internal rate</t>
        </is>
      </c>
      <c r="E5" t="inlineStr">
        <is>
          <t>Accelerator lead</t>
        </is>
      </c>
      <c r="F5" t="inlineStr">
        <is>
          <t>2026-04-03</t>
        </is>
      </c>
      <c r="G5" t="inlineStr">
        <is>
          <t>Replace with approved deployment rate.</t>
        </is>
      </c>
    </row>
    <row r="6">
      <c r="A6" t="inlineStr">
        <is>
          <t>content_producer</t>
        </is>
      </c>
      <c r="B6" t="inlineStr">
        <is>
          <t>Content Producer</t>
        </is>
      </c>
      <c r="C6">
        <v>65</v>
      </c>
      <c r="D6" t="inlineStr">
        <is>
          <t>Illustrative blended internal rate</t>
        </is>
      </c>
      <c r="E6" t="inlineStr">
        <is>
          <t>Accelerator lead</t>
        </is>
      </c>
      <c r="F6" t="inlineStr">
        <is>
          <t>2026-04-03</t>
        </is>
      </c>
      <c r="G6" t="inlineStr">
        <is>
          <t>Replace with approved deployment rate.</t>
        </is>
      </c>
    </row>
  </sheetData>
</worksheet>
</file>

<file path=xl/worksheets/sheet3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task_id</t>
        </is>
      </c>
      <c r="B1" t="inlineStr" s="1">
        <is>
          <t>agent_persona</t>
        </is>
      </c>
      <c r="C1" t="inlineStr" s="1">
        <is>
          <t>task_name</t>
        </is>
      </c>
      <c r="D1" t="inlineStr" s="1">
        <is>
          <t>business_function</t>
        </is>
      </c>
      <c r="E1" t="inlineStr" s="1">
        <is>
          <t>human_role_owner</t>
        </is>
      </c>
      <c r="F1" t="inlineStr" s="1">
        <is>
          <t>human_baseline_minutes</t>
        </is>
      </c>
      <c r="G1" t="inlineStr" s="1">
        <is>
          <t>human_review_minutes</t>
        </is>
      </c>
      <c r="H1" t="inlineStr" s="1">
        <is>
          <t>exception_minutes</t>
        </is>
      </c>
      <c r="I1" t="inlineStr" s="1">
        <is>
          <t>evidence_required</t>
        </is>
      </c>
      <c r="J1" t="inlineStr" s="1">
        <is>
          <t>approved_for_roi</t>
        </is>
      </c>
      <c r="K1" t="inlineStr" s="1">
        <is>
          <t>baseline_owner</t>
        </is>
      </c>
      <c r="L1" t="inlineStr" s="1">
        <is>
          <t>baseline_last_reviewed</t>
        </is>
      </c>
    </row>
    <row r="2">
      <c r="A2" t="inlineStr">
        <is>
          <t>gatekeeper_pr_triage</t>
        </is>
      </c>
      <c r="B2" t="inlineStr">
        <is>
          <t>engineering/gatekeeper</t>
        </is>
      </c>
      <c r="C2" t="inlineStr">
        <is>
          <t>Triage pull request risk</t>
        </is>
      </c>
      <c r="D2" t="inlineStr">
        <is>
          <t>engineering</t>
        </is>
      </c>
      <c r="E2" t="inlineStr">
        <is>
          <t>engineering_manager</t>
        </is>
      </c>
      <c r="F2">
        <v>20</v>
      </c>
      <c r="G2">
        <v>5</v>
      </c>
      <c r="H2">
        <v>2</v>
      </c>
      <c r="I2" t="inlineStr">
        <is>
          <t>Structured PR report plus trace_id</t>
        </is>
      </c>
      <c r="J2" t="b">
        <v>1</v>
      </c>
      <c r="K2" t="inlineStr">
        <is>
          <t>Accelerator lead</t>
        </is>
      </c>
      <c r="L2" t="inlineStr">
        <is>
          <t>2026-04-03</t>
        </is>
      </c>
    </row>
    <row r="3">
      <c r="A3" t="inlineStr">
        <is>
          <t>knowledge_manager_internal_answer</t>
        </is>
      </c>
      <c r="B3" t="inlineStr">
        <is>
          <t>operations/knowledge-manager</t>
        </is>
      </c>
      <c r="C3" t="inlineStr">
        <is>
          <t>Answer internal policy question</t>
        </is>
      </c>
      <c r="D3" t="inlineStr">
        <is>
          <t>operations</t>
        </is>
      </c>
      <c r="E3" t="inlineStr">
        <is>
          <t>knowledge_worker</t>
        </is>
      </c>
      <c r="F3">
        <v>15</v>
      </c>
      <c r="G3">
        <v>4</v>
      </c>
      <c r="H3">
        <v>1</v>
      </c>
      <c r="I3" t="inlineStr">
        <is>
          <t>Knowledge answer output plus source refs</t>
        </is>
      </c>
      <c r="J3" t="b">
        <v>1</v>
      </c>
      <c r="K3" t="inlineStr">
        <is>
          <t>Accelerator lead</t>
        </is>
      </c>
      <c r="L3" t="inlineStr">
        <is>
          <t>2026-04-03</t>
        </is>
      </c>
    </row>
    <row r="4">
      <c r="A4" t="inlineStr">
        <is>
          <t>linux_daily_health_check</t>
        </is>
      </c>
      <c r="B4" t="inlineStr">
        <is>
          <t>infrastructure/linux</t>
        </is>
      </c>
      <c r="C4" t="inlineStr">
        <is>
          <t>Run daily health check and summarize</t>
        </is>
      </c>
      <c r="D4" t="inlineStr">
        <is>
          <t>operations</t>
        </is>
      </c>
      <c r="E4" t="inlineStr">
        <is>
          <t>it_ops_engineer</t>
        </is>
      </c>
      <c r="F4">
        <v>25</v>
      </c>
      <c r="G4">
        <v>5</v>
      </c>
      <c r="H4">
        <v>2</v>
      </c>
      <c r="I4" t="inlineStr">
        <is>
          <t>Health summary plus host trace</t>
        </is>
      </c>
      <c r="J4" t="b">
        <v>1</v>
      </c>
      <c r="K4" t="inlineStr">
        <is>
          <t>Accelerator lead</t>
        </is>
      </c>
      <c r="L4" t="inlineStr">
        <is>
          <t>2026-04-03</t>
        </is>
      </c>
    </row>
    <row r="5">
      <c r="A5" t="inlineStr">
        <is>
          <t>seo_metadata_generation</t>
        </is>
      </c>
      <c r="B5" t="inlineStr">
        <is>
          <t>marketing/seo-strategist</t>
        </is>
      </c>
      <c r="C5" t="inlineStr">
        <is>
          <t>Draft SEO metadata package</t>
        </is>
      </c>
      <c r="D5" t="inlineStr">
        <is>
          <t>marketing</t>
        </is>
      </c>
      <c r="E5" t="inlineStr">
        <is>
          <t>marketing_manager</t>
        </is>
      </c>
      <c r="F5">
        <v>30</v>
      </c>
      <c r="G5">
        <v>8</v>
      </c>
      <c r="H5">
        <v>3</v>
      </c>
      <c r="I5" t="inlineStr">
        <is>
          <t>Metadata package plus campaign trace</t>
        </is>
      </c>
      <c r="J5" t="b">
        <v>1</v>
      </c>
      <c r="K5" t="inlineStr">
        <is>
          <t>Accelerator lead</t>
        </is>
      </c>
      <c r="L5" t="inlineStr">
        <is>
          <t>2026-04-03</t>
        </is>
      </c>
    </row>
    <row r="6">
      <c r="A6" t="inlineStr">
        <is>
          <t>video_content_packaging</t>
        </is>
      </c>
      <c r="B6" t="inlineStr">
        <is>
          <t>marketing/video-content-manager</t>
        </is>
      </c>
      <c r="C6" t="inlineStr">
        <is>
          <t>Package rough cut into publishable asset set</t>
        </is>
      </c>
      <c r="D6" t="inlineStr">
        <is>
          <t>marketing</t>
        </is>
      </c>
      <c r="E6" t="inlineStr">
        <is>
          <t>content_producer</t>
        </is>
      </c>
      <c r="F6">
        <v>45</v>
      </c>
      <c r="G6">
        <v>12</v>
      </c>
      <c r="H6">
        <v>5</v>
      </c>
      <c r="I6" t="inlineStr">
        <is>
          <t>Packaging output plus content trace</t>
        </is>
      </c>
      <c r="J6" t="b">
        <v>1</v>
      </c>
      <c r="K6" t="inlineStr">
        <is>
          <t>Accelerator lead</t>
        </is>
      </c>
      <c r="L6" t="inlineStr">
        <is>
          <t>2026-04-03</t>
        </is>
      </c>
    </row>
  </sheetData>
</worksheet>
</file>

<file path=xl/worksheets/sheet4.xml><?xml version="1.0" encoding="utf-8"?>
<worksheet xmlns="http://schemas.openxmlformats.org/spreadsheetml/2006/main">
  <dimension ref="A1:L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execution_id</t>
        </is>
      </c>
      <c r="B1" t="inlineStr" s="1">
        <is>
          <t>timestamp_utc</t>
        </is>
      </c>
      <c r="C1" t="inlineStr" s="1">
        <is>
          <t>tenant_id</t>
        </is>
      </c>
      <c r="D1" t="inlineStr" s="1">
        <is>
          <t>agent_persona</t>
        </is>
      </c>
      <c r="E1" t="inlineStr" s="1">
        <is>
          <t>task_id</t>
        </is>
      </c>
      <c r="F1" t="inlineStr" s="1">
        <is>
          <t>status</t>
        </is>
      </c>
      <c r="G1" t="inlineStr" s="1">
        <is>
          <t>trace_id</t>
        </is>
      </c>
      <c r="H1" t="inlineStr" s="1">
        <is>
          <t>quantity</t>
        </is>
      </c>
      <c r="I1" t="inlineStr" s="1">
        <is>
          <t>review_required</t>
        </is>
      </c>
      <c r="J1" t="inlineStr" s="1">
        <is>
          <t>evidence_ref</t>
        </is>
      </c>
      <c r="K1" t="inlineStr" s="1">
        <is>
          <t>source_system</t>
        </is>
      </c>
      <c r="L1" t="inlineStr" s="1">
        <is>
          <t>notes</t>
        </is>
      </c>
    </row>
    <row r="2">
      <c r="A2" t="inlineStr">
        <is>
          <t>sample-exec-001</t>
        </is>
      </c>
      <c r="B2" t="inlineStr">
        <is>
          <t>2026-04-01T09:15:00Z</t>
        </is>
      </c>
      <c r="C2" t="inlineStr">
        <is>
          <t>tenant-template</t>
        </is>
      </c>
      <c r="D2" t="inlineStr">
        <is>
          <t>engineering/gatekeeper</t>
        </is>
      </c>
      <c r="E2" t="inlineStr">
        <is>
          <t>gatekeeper_pr_triage</t>
        </is>
      </c>
      <c r="F2" t="inlineStr">
        <is>
          <t>success</t>
        </is>
      </c>
      <c r="G2" t="inlineStr">
        <is>
          <t>trace-001</t>
        </is>
      </c>
      <c r="H2">
        <v>1</v>
      </c>
      <c r="I2" t="b">
        <v>0</v>
      </c>
      <c r="J2" t="inlineStr">
        <is>
          <t>github:pr/123</t>
        </is>
      </c>
      <c r="K2" t="inlineStr">
        <is>
          <t>github</t>
        </is>
      </c>
      <c r="L2" t="inlineStr">
        <is>
          <t>Example execution row</t>
        </is>
      </c>
    </row>
    <row r="3">
      <c r="A3" t="inlineStr">
        <is>
          <t>sample-exec-002</t>
        </is>
      </c>
      <c r="B3" t="inlineStr">
        <is>
          <t>2026-04-03T11:00:00Z</t>
        </is>
      </c>
      <c r="C3" t="inlineStr">
        <is>
          <t>tenant-template</t>
        </is>
      </c>
      <c r="D3" t="inlineStr">
        <is>
          <t>operations/knowledge-manager</t>
        </is>
      </c>
      <c r="E3" t="inlineStr">
        <is>
          <t>knowledge_manager_internal_answer</t>
        </is>
      </c>
      <c r="F3" t="inlineStr">
        <is>
          <t>success</t>
        </is>
      </c>
      <c r="G3" t="inlineStr">
        <is>
          <t>trace-002</t>
        </is>
      </c>
      <c r="H3">
        <v>3</v>
      </c>
      <c r="I3" t="b">
        <v>0</v>
      </c>
      <c r="J3" t="inlineStr">
        <is>
          <t>docs:policy/remote-work</t>
        </is>
      </c>
      <c r="K3" t="inlineStr">
        <is>
          <t>n8n</t>
        </is>
      </c>
      <c r="L3" t="inlineStr">
        <is>
          <t>Example execution row</t>
        </is>
      </c>
    </row>
    <row r="4">
      <c r="A4" t="inlineStr">
        <is>
          <t>sample-exec-003</t>
        </is>
      </c>
      <c r="B4" t="inlineStr">
        <is>
          <t>2026-04-05T07:30:00Z</t>
        </is>
      </c>
      <c r="C4" t="inlineStr">
        <is>
          <t>tenant-template</t>
        </is>
      </c>
      <c r="D4" t="inlineStr">
        <is>
          <t>infrastructure/linux</t>
        </is>
      </c>
      <c r="E4" t="inlineStr">
        <is>
          <t>linux_daily_health_check</t>
        </is>
      </c>
      <c r="F4" t="inlineStr">
        <is>
          <t>success</t>
        </is>
      </c>
      <c r="G4" t="inlineStr">
        <is>
          <t>trace-003</t>
        </is>
      </c>
      <c r="H4">
        <v>1</v>
      </c>
      <c r="I4" t="b">
        <v>0</v>
      </c>
      <c r="J4" t="inlineStr">
        <is>
          <t>loki:health-check/445</t>
        </is>
      </c>
      <c r="K4" t="inlineStr">
        <is>
          <t>loki</t>
        </is>
      </c>
      <c r="L4" t="inlineStr">
        <is>
          <t>Example execution row</t>
        </is>
      </c>
    </row>
    <row r="5">
      <c r="A5" t="inlineStr">
        <is>
          <t>sample-exec-004</t>
        </is>
      </c>
      <c r="B5" t="inlineStr">
        <is>
          <t>2026-04-06T14:20:00Z</t>
        </is>
      </c>
      <c r="C5" t="inlineStr">
        <is>
          <t>tenant-template</t>
        </is>
      </c>
      <c r="D5" t="inlineStr">
        <is>
          <t>marketing/seo-strategist</t>
        </is>
      </c>
      <c r="E5" t="inlineStr">
        <is>
          <t>seo_metadata_generation</t>
        </is>
      </c>
      <c r="F5" t="inlineStr">
        <is>
          <t>success</t>
        </is>
      </c>
      <c r="G5" t="inlineStr">
        <is>
          <t>trace-004</t>
        </is>
      </c>
      <c r="H5">
        <v>2</v>
      </c>
      <c r="I5" t="b">
        <v>1</v>
      </c>
      <c r="J5" t="inlineStr">
        <is>
          <t>drive:seo-brief/2026-04</t>
        </is>
      </c>
      <c r="K5" t="inlineStr">
        <is>
          <t>google-drive</t>
        </is>
      </c>
      <c r="L5" t="inlineStr">
        <is>
          <t>Example execution row</t>
        </is>
      </c>
    </row>
    <row r="6">
      <c r="A6" t="inlineStr">
        <is>
          <t>sample-exec-005</t>
        </is>
      </c>
      <c r="B6" t="inlineStr">
        <is>
          <t>2026-04-08T16:45:00Z</t>
        </is>
      </c>
      <c r="C6" t="inlineStr">
        <is>
          <t>tenant-template</t>
        </is>
      </c>
      <c r="D6" t="inlineStr">
        <is>
          <t>marketing/video-content-manager</t>
        </is>
      </c>
      <c r="E6" t="inlineStr">
        <is>
          <t>video_content_packaging</t>
        </is>
      </c>
      <c r="F6" t="inlineStr">
        <is>
          <t>failed</t>
        </is>
      </c>
      <c r="G6" t="inlineStr">
        <is>
          <t>trace-005</t>
        </is>
      </c>
      <c r="H6">
        <v>1</v>
      </c>
      <c r="I6" t="b">
        <v>1</v>
      </c>
      <c r="J6" t="inlineStr">
        <is>
          <t>drive:video-job/2026-04</t>
        </is>
      </c>
      <c r="K6" t="inlineStr">
        <is>
          <t>n8n</t>
        </is>
      </c>
      <c r="L6" t="inlineStr">
        <is>
          <t>Failed example row should be excluded</t>
        </is>
      </c>
    </row>
  </sheetData>
</worksheet>
</file>

<file path=xl/worksheets/sheet5.xml><?xml version="1.0" encoding="utf-8"?>
<worksheet xmlns="http://schemas.openxmlformats.org/spreadsheetml/2006/main">
  <dimension ref="A1:O25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execution_id</t>
        </is>
      </c>
      <c r="B1" t="inlineStr" s="1">
        <is>
          <t>month</t>
        </is>
      </c>
      <c r="C1" t="inlineStr" s="1">
        <is>
          <t>task_id</t>
        </is>
      </c>
      <c r="D1" t="inlineStr" s="1">
        <is>
          <t>human_role_owner</t>
        </is>
      </c>
      <c r="E1" t="inlineStr" s="1">
        <is>
          <t>baseline_minutes</t>
        </is>
      </c>
      <c r="F1" t="inlineStr" s="1">
        <is>
          <t>review_minutes</t>
        </is>
      </c>
      <c r="G1" t="inlineStr" s="1">
        <is>
          <t>exception_minutes</t>
        </is>
      </c>
      <c r="H1" t="inlineStr" s="1">
        <is>
          <t>net_minutes_saved</t>
        </is>
      </c>
      <c r="I1" t="inlineStr" s="1">
        <is>
          <t>hours_saved</t>
        </is>
      </c>
      <c r="J1" t="inlineStr" s="1">
        <is>
          <t>hourly_rate</t>
        </is>
      </c>
      <c r="K1" t="inlineStr" s="1">
        <is>
          <t>gross_cost_avoidance</t>
        </is>
      </c>
      <c r="L1" t="inlineStr" s="1">
        <is>
          <t>included_in_roi</t>
        </is>
      </c>
      <c r="M1" t="inlineStr" s="1">
        <is>
          <t>exclusion_reason</t>
        </is>
      </c>
      <c r="N1" t="inlineStr" s="1">
        <is>
          <t>confidence_band</t>
        </is>
      </c>
      <c r="O1" t="inlineStr" s="1">
        <is>
          <t>can_this_be_explained_to_a_cfo</t>
        </is>
      </c>
    </row>
    <row r="2">
      <c r="A2" t="str">
        <f>IF('03_EXECUTION_LOG'!A2="","",'03_EXECUTION_LOG'!A2)</f>
        <v/>
      </c>
      <c r="B2" t="str">
        <f>IF('03_EXECUTION_LOG'!B2="","",LEFT('03_EXECUTION_LOG'!B2,7))</f>
        <v/>
      </c>
      <c r="C2" t="str">
        <f>IF('03_EXECUTION_LOG'!E2="","",'03_EXECUTION_LOG'!E2)</f>
        <v/>
      </c>
      <c r="D2" t="str">
        <f>IF(C2="","",INDEX('02_TASK_CATALOG'!E:E,MATCH(C2,'02_TASK_CATALOG'!A:A,0)))</f>
        <v/>
      </c>
      <c r="E2">
        <f>IF(C2="","",INDEX('02_TASK_CATALOG'!F:F,MATCH(C2,'02_TASK_CATALOG'!A:A,0)))</f>
        <v>0</v>
      </c>
      <c r="F2">
        <f>IF(C2="","",INDEX('02_TASK_CATALOG'!G:G,MATCH(C2,'02_TASK_CATALOG'!A:A,0)))</f>
        <v>0</v>
      </c>
      <c r="G2">
        <f>IF(C2="","",INDEX('02_TASK_CATALOG'!H:H,MATCH(C2,'02_TASK_CATALOG'!A:A,0)))</f>
        <v>0</v>
      </c>
      <c r="H2">
        <f>IF(A2="","",MAX(0,E2-F2-G2))</f>
        <v>0</v>
      </c>
      <c r="I2">
        <f>IF(A2="","",H2*IF('03_EXECUTION_LOG'!H2="",1,'03_EXECUTION_LOG'!H2)/60)</f>
        <v>0</v>
      </c>
      <c r="J2">
        <f>IF(D2="","",INDEX('01_ASSUMPTIONS'!C:C,MATCH(D2,'01_ASSUMPTIONS'!A:A,0)))</f>
        <v>0</v>
      </c>
      <c r="K2">
        <f>IF(OR(A2="",L2&lt;&gt;TRUE),0,I2*J2)</f>
        <v>0</v>
      </c>
      <c r="L2" t="b">
        <f>IF(A2="","",AND('03_EXECUTION_LOG'!F2="success",INDEX('02_TASK_CATALOG'!J:J,MATCH(C2,'02_TASK_CATALOG'!A:A,0))=TRUE,H2&gt;0,J2&gt;0,'03_EXECUTION_LOG'!J2&lt;&gt;""))</f>
        <v>0</v>
      </c>
      <c r="M2" t="str">
        <f>IF(A2="","",IF('03_EXECUTION_LOG'!F2&lt;&gt;"success","non-success status",IF(INDEX('02_TASK_CATALOG'!J:J,MATCH(C2,'02_TASK_CATALOG'!A:A,0))&lt;&gt;TRUE,"task not approved",IF(H2&lt;=0,"no net time saved",IF(J2&lt;=0,"missing labor rate",IF('03_EXECUTION_LOG'!J2="","missing evidence",""))))))</f>
        <v/>
      </c>
      <c r="N2" t="str">
        <f>IF(A2="","",IF(AND(L2=TRUE,'03_EXECUTION_LOG'!I2=FALSE),"high",IF(AND(L2=TRUE,'03_EXECUTION_LOG'!I2=TRUE),"medium","low")))</f>
        <v/>
      </c>
      <c r="O2" t="str">
        <f>IF(A2="","",IF(AND(L2=TRUE,'03_EXECUTION_LOG'!J2&lt;&gt;""),"yes","needs-review"))</f>
        <v/>
      </c>
    </row>
    <row r="3">
      <c r="A3" t="str">
        <f>IF('03_EXECUTION_LOG'!A3="","",'03_EXECUTION_LOG'!A3)</f>
        <v/>
      </c>
      <c r="B3" t="str">
        <f>IF('03_EXECUTION_LOG'!B3="","",LEFT('03_EXECUTION_LOG'!B3,7))</f>
        <v/>
      </c>
      <c r="C3" t="str">
        <f>IF('03_EXECUTION_LOG'!E3="","",'03_EXECUTION_LOG'!E3)</f>
        <v/>
      </c>
      <c r="D3" t="str">
        <f>IF(C3="","",INDEX('02_TASK_CATALOG'!E:E,MATCH(C3,'02_TASK_CATALOG'!A:A,0)))</f>
        <v/>
      </c>
      <c r="E3">
        <f>IF(C3="","",INDEX('02_TASK_CATALOG'!F:F,MATCH(C3,'02_TASK_CATALOG'!A:A,0)))</f>
        <v>0</v>
      </c>
      <c r="F3">
        <f>IF(C3="","",INDEX('02_TASK_CATALOG'!G:G,MATCH(C3,'02_TASK_CATALOG'!A:A,0)))</f>
        <v>0</v>
      </c>
      <c r="G3">
        <f>IF(C3="","",INDEX('02_TASK_CATALOG'!H:H,MATCH(C3,'02_TASK_CATALOG'!A:A,0)))</f>
        <v>0</v>
      </c>
      <c r="H3">
        <f>IF(A3="","",MAX(0,E3-F3-G3))</f>
        <v>0</v>
      </c>
      <c r="I3">
        <f>IF(A3="","",H3*IF('03_EXECUTION_LOG'!H3="",1,'03_EXECUTION_LOG'!H3)/60)</f>
        <v>0</v>
      </c>
      <c r="J3">
        <f>IF(D3="","",INDEX('01_ASSUMPTIONS'!C:C,MATCH(D3,'01_ASSUMPTIONS'!A:A,0)))</f>
        <v>0</v>
      </c>
      <c r="K3">
        <f>IF(OR(A3="",L3&lt;&gt;TRUE),0,I3*J3)</f>
        <v>0</v>
      </c>
      <c r="L3" t="b">
        <f>IF(A3="","",AND('03_EXECUTION_LOG'!F3="success",INDEX('02_TASK_CATALOG'!J:J,MATCH(C3,'02_TASK_CATALOG'!A:A,0))=TRUE,H3&gt;0,J3&gt;0,'03_EXECUTION_LOG'!J3&lt;&gt;""))</f>
        <v>0</v>
      </c>
      <c r="M3" t="str">
        <f>IF(A3="","",IF('03_EXECUTION_LOG'!F3&lt;&gt;"success","non-success status",IF(INDEX('02_TASK_CATALOG'!J:J,MATCH(C3,'02_TASK_CATALOG'!A:A,0))&lt;&gt;TRUE,"task not approved",IF(H3&lt;=0,"no net time saved",IF(J3&lt;=0,"missing labor rate",IF('03_EXECUTION_LOG'!J3="","missing evidence",""))))))</f>
        <v/>
      </c>
      <c r="N3" t="str">
        <f>IF(A3="","",IF(AND(L3=TRUE,'03_EXECUTION_LOG'!I3=FALSE),"high",IF(AND(L3=TRUE,'03_EXECUTION_LOG'!I3=TRUE),"medium","low")))</f>
        <v/>
      </c>
      <c r="O3" t="str">
        <f>IF(A3="","",IF(AND(L3=TRUE,'03_EXECUTION_LOG'!J3&lt;&gt;""),"yes","needs-review"))</f>
        <v/>
      </c>
    </row>
    <row r="4">
      <c r="A4" t="str">
        <f>IF('03_EXECUTION_LOG'!A4="","",'03_EXECUTION_LOG'!A4)</f>
        <v/>
      </c>
      <c r="B4" t="str">
        <f>IF('03_EXECUTION_LOG'!B4="","",LEFT('03_EXECUTION_LOG'!B4,7))</f>
        <v/>
      </c>
      <c r="C4" t="str">
        <f>IF('03_EXECUTION_LOG'!E4="","",'03_EXECUTION_LOG'!E4)</f>
        <v/>
      </c>
      <c r="D4" t="str">
        <f>IF(C4="","",INDEX('02_TASK_CATALOG'!E:E,MATCH(C4,'02_TASK_CATALOG'!A:A,0)))</f>
        <v/>
      </c>
      <c r="E4">
        <f>IF(C4="","",INDEX('02_TASK_CATALOG'!F:F,MATCH(C4,'02_TASK_CATALOG'!A:A,0)))</f>
        <v>0</v>
      </c>
      <c r="F4">
        <f>IF(C4="","",INDEX('02_TASK_CATALOG'!G:G,MATCH(C4,'02_TASK_CATALOG'!A:A,0)))</f>
        <v>0</v>
      </c>
      <c r="G4">
        <f>IF(C4="","",INDEX('02_TASK_CATALOG'!H:H,MATCH(C4,'02_TASK_CATALOG'!A:A,0)))</f>
        <v>0</v>
      </c>
      <c r="H4">
        <f>IF(A4="","",MAX(0,E4-F4-G4))</f>
        <v>0</v>
      </c>
      <c r="I4">
        <f>IF(A4="","",H4*IF('03_EXECUTION_LOG'!H4="",1,'03_EXECUTION_LOG'!H4)/60)</f>
        <v>0</v>
      </c>
      <c r="J4">
        <f>IF(D4="","",INDEX('01_ASSUMPTIONS'!C:C,MATCH(D4,'01_ASSUMPTIONS'!A:A,0)))</f>
        <v>0</v>
      </c>
      <c r="K4">
        <f>IF(OR(A4="",L4&lt;&gt;TRUE),0,I4*J4)</f>
        <v>0</v>
      </c>
      <c r="L4" t="b">
        <f>IF(A4="","",AND('03_EXECUTION_LOG'!F4="success",INDEX('02_TASK_CATALOG'!J:J,MATCH(C4,'02_TASK_CATALOG'!A:A,0))=TRUE,H4&gt;0,J4&gt;0,'03_EXECUTION_LOG'!J4&lt;&gt;""))</f>
        <v>0</v>
      </c>
      <c r="M4" t="str">
        <f>IF(A4="","",IF('03_EXECUTION_LOG'!F4&lt;&gt;"success","non-success status",IF(INDEX('02_TASK_CATALOG'!J:J,MATCH(C4,'02_TASK_CATALOG'!A:A,0))&lt;&gt;TRUE,"task not approved",IF(H4&lt;=0,"no net time saved",IF(J4&lt;=0,"missing labor rate",IF('03_EXECUTION_LOG'!J4="","missing evidence",""))))))</f>
        <v/>
      </c>
      <c r="N4" t="str">
        <f>IF(A4="","",IF(AND(L4=TRUE,'03_EXECUTION_LOG'!I4=FALSE),"high",IF(AND(L4=TRUE,'03_EXECUTION_LOG'!I4=TRUE),"medium","low")))</f>
        <v/>
      </c>
      <c r="O4" t="str">
        <f>IF(A4="","",IF(AND(L4=TRUE,'03_EXECUTION_LOG'!J4&lt;&gt;""),"yes","needs-review"))</f>
        <v/>
      </c>
    </row>
    <row r="5">
      <c r="A5" t="str">
        <f>IF('03_EXECUTION_LOG'!A5="","",'03_EXECUTION_LOG'!A5)</f>
        <v/>
      </c>
      <c r="B5" t="str">
        <f>IF('03_EXECUTION_LOG'!B5="","",LEFT('03_EXECUTION_LOG'!B5,7))</f>
        <v/>
      </c>
      <c r="C5" t="str">
        <f>IF('03_EXECUTION_LOG'!E5="","",'03_EXECUTION_LOG'!E5)</f>
        <v/>
      </c>
      <c r="D5" t="str">
        <f>IF(C5="","",INDEX('02_TASK_CATALOG'!E:E,MATCH(C5,'02_TASK_CATALOG'!A:A,0)))</f>
        <v/>
      </c>
      <c r="E5">
        <f>IF(C5="","",INDEX('02_TASK_CATALOG'!F:F,MATCH(C5,'02_TASK_CATALOG'!A:A,0)))</f>
        <v>0</v>
      </c>
      <c r="F5">
        <f>IF(C5="","",INDEX('02_TASK_CATALOG'!G:G,MATCH(C5,'02_TASK_CATALOG'!A:A,0)))</f>
        <v>0</v>
      </c>
      <c r="G5">
        <f>IF(C5="","",INDEX('02_TASK_CATALOG'!H:H,MATCH(C5,'02_TASK_CATALOG'!A:A,0)))</f>
        <v>0</v>
      </c>
      <c r="H5">
        <f>IF(A5="","",MAX(0,E5-F5-G5))</f>
        <v>0</v>
      </c>
      <c r="I5">
        <f>IF(A5="","",H5*IF('03_EXECUTION_LOG'!H5="",1,'03_EXECUTION_LOG'!H5)/60)</f>
        <v>0</v>
      </c>
      <c r="J5">
        <f>IF(D5="","",INDEX('01_ASSUMPTIONS'!C:C,MATCH(D5,'01_ASSUMPTIONS'!A:A,0)))</f>
        <v>0</v>
      </c>
      <c r="K5">
        <f>IF(OR(A5="",L5&lt;&gt;TRUE),0,I5*J5)</f>
        <v>0</v>
      </c>
      <c r="L5" t="b">
        <f>IF(A5="","",AND('03_EXECUTION_LOG'!F5="success",INDEX('02_TASK_CATALOG'!J:J,MATCH(C5,'02_TASK_CATALOG'!A:A,0))=TRUE,H5&gt;0,J5&gt;0,'03_EXECUTION_LOG'!J5&lt;&gt;""))</f>
        <v>0</v>
      </c>
      <c r="M5" t="str">
        <f>IF(A5="","",IF('03_EXECUTION_LOG'!F5&lt;&gt;"success","non-success status",IF(INDEX('02_TASK_CATALOG'!J:J,MATCH(C5,'02_TASK_CATALOG'!A:A,0))&lt;&gt;TRUE,"task not approved",IF(H5&lt;=0,"no net time saved",IF(J5&lt;=0,"missing labor rate",IF('03_EXECUTION_LOG'!J5="","missing evidence",""))))))</f>
        <v/>
      </c>
      <c r="N5" t="str">
        <f>IF(A5="","",IF(AND(L5=TRUE,'03_EXECUTION_LOG'!I5=FALSE),"high",IF(AND(L5=TRUE,'03_EXECUTION_LOG'!I5=TRUE),"medium","low")))</f>
        <v/>
      </c>
      <c r="O5" t="str">
        <f>IF(A5="","",IF(AND(L5=TRUE,'03_EXECUTION_LOG'!J5&lt;&gt;""),"yes","needs-review"))</f>
        <v/>
      </c>
    </row>
    <row r="6">
      <c r="A6" t="str">
        <f>IF('03_EXECUTION_LOG'!A6="","",'03_EXECUTION_LOG'!A6)</f>
        <v/>
      </c>
      <c r="B6" t="str">
        <f>IF('03_EXECUTION_LOG'!B6="","",LEFT('03_EXECUTION_LOG'!B6,7))</f>
        <v/>
      </c>
      <c r="C6" t="str">
        <f>IF('03_EXECUTION_LOG'!E6="","",'03_EXECUTION_LOG'!E6)</f>
        <v/>
      </c>
      <c r="D6" t="str">
        <f>IF(C6="","",INDEX('02_TASK_CATALOG'!E:E,MATCH(C6,'02_TASK_CATALOG'!A:A,0)))</f>
        <v/>
      </c>
      <c r="E6">
        <f>IF(C6="","",INDEX('02_TASK_CATALOG'!F:F,MATCH(C6,'02_TASK_CATALOG'!A:A,0)))</f>
        <v>0</v>
      </c>
      <c r="F6">
        <f>IF(C6="","",INDEX('02_TASK_CATALOG'!G:G,MATCH(C6,'02_TASK_CATALOG'!A:A,0)))</f>
        <v>0</v>
      </c>
      <c r="G6">
        <f>IF(C6="","",INDEX('02_TASK_CATALOG'!H:H,MATCH(C6,'02_TASK_CATALOG'!A:A,0)))</f>
        <v>0</v>
      </c>
      <c r="H6">
        <f>IF(A6="","",MAX(0,E6-F6-G6))</f>
        <v>0</v>
      </c>
      <c r="I6">
        <f>IF(A6="","",H6*IF('03_EXECUTION_LOG'!H6="",1,'03_EXECUTION_LOG'!H6)/60)</f>
        <v>0</v>
      </c>
      <c r="J6">
        <f>IF(D6="","",INDEX('01_ASSUMPTIONS'!C:C,MATCH(D6,'01_ASSUMPTIONS'!A:A,0)))</f>
        <v>0</v>
      </c>
      <c r="K6">
        <f>IF(OR(A6="",L6&lt;&gt;TRUE),0,I6*J6)</f>
        <v>0</v>
      </c>
      <c r="L6" t="b">
        <f>IF(A6="","",AND('03_EXECUTION_LOG'!F6="success",INDEX('02_TASK_CATALOG'!J:J,MATCH(C6,'02_TASK_CATALOG'!A:A,0))=TRUE,H6&gt;0,J6&gt;0,'03_EXECUTION_LOG'!J6&lt;&gt;""))</f>
        <v>0</v>
      </c>
      <c r="M6" t="str">
        <f>IF(A6="","",IF('03_EXECUTION_LOG'!F6&lt;&gt;"success","non-success status",IF(INDEX('02_TASK_CATALOG'!J:J,MATCH(C6,'02_TASK_CATALOG'!A:A,0))&lt;&gt;TRUE,"task not approved",IF(H6&lt;=0,"no net time saved",IF(J6&lt;=0,"missing labor rate",IF('03_EXECUTION_LOG'!J6="","missing evidence",""))))))</f>
        <v/>
      </c>
      <c r="N6" t="str">
        <f>IF(A6="","",IF(AND(L6=TRUE,'03_EXECUTION_LOG'!I6=FALSE),"high",IF(AND(L6=TRUE,'03_EXECUTION_LOG'!I6=TRUE),"medium","low")))</f>
        <v/>
      </c>
      <c r="O6" t="str">
        <f>IF(A6="","",IF(AND(L6=TRUE,'03_EXECUTION_LOG'!J6&lt;&gt;""),"yes","needs-review"))</f>
        <v/>
      </c>
    </row>
    <row r="7">
      <c r="A7" t="str">
        <f>IF('03_EXECUTION_LOG'!A7="","",'03_EXECUTION_LOG'!A7)</f>
        <v/>
      </c>
      <c r="B7" t="str">
        <f>IF('03_EXECUTION_LOG'!B7="","",LEFT('03_EXECUTION_LOG'!B7,7))</f>
        <v/>
      </c>
      <c r="C7" t="str">
        <f>IF('03_EXECUTION_LOG'!E7="","",'03_EXECUTION_LOG'!E7)</f>
        <v/>
      </c>
      <c r="D7" t="str">
        <f>IF(C7="","",INDEX('02_TASK_CATALOG'!E:E,MATCH(C7,'02_TASK_CATALOG'!A:A,0)))</f>
        <v/>
      </c>
      <c r="E7">
        <f>IF(C7="","",INDEX('02_TASK_CATALOG'!F:F,MATCH(C7,'02_TASK_CATALOG'!A:A,0)))</f>
        <v>0</v>
      </c>
      <c r="F7">
        <f>IF(C7="","",INDEX('02_TASK_CATALOG'!G:G,MATCH(C7,'02_TASK_CATALOG'!A:A,0)))</f>
        <v>0</v>
      </c>
      <c r="G7">
        <f>IF(C7="","",INDEX('02_TASK_CATALOG'!H:H,MATCH(C7,'02_TASK_CATALOG'!A:A,0)))</f>
        <v>0</v>
      </c>
      <c r="H7">
        <f>IF(A7="","",MAX(0,E7-F7-G7))</f>
        <v>0</v>
      </c>
      <c r="I7">
        <f>IF(A7="","",H7*IF('03_EXECUTION_LOG'!H7="",1,'03_EXECUTION_LOG'!H7)/60)</f>
        <v>0</v>
      </c>
      <c r="J7">
        <f>IF(D7="","",INDEX('01_ASSUMPTIONS'!C:C,MATCH(D7,'01_ASSUMPTIONS'!A:A,0)))</f>
        <v>0</v>
      </c>
      <c r="K7">
        <f>IF(OR(A7="",L7&lt;&gt;TRUE),0,I7*J7)</f>
        <v>0</v>
      </c>
      <c r="L7" t="b">
        <f>IF(A7="","",AND('03_EXECUTION_LOG'!F7="success",INDEX('02_TASK_CATALOG'!J:J,MATCH(C7,'02_TASK_CATALOG'!A:A,0))=TRUE,H7&gt;0,J7&gt;0,'03_EXECUTION_LOG'!J7&lt;&gt;""))</f>
        <v>0</v>
      </c>
      <c r="M7" t="str">
        <f>IF(A7="","",IF('03_EXECUTION_LOG'!F7&lt;&gt;"success","non-success status",IF(INDEX('02_TASK_CATALOG'!J:J,MATCH(C7,'02_TASK_CATALOG'!A:A,0))&lt;&gt;TRUE,"task not approved",IF(H7&lt;=0,"no net time saved",IF(J7&lt;=0,"missing labor rate",IF('03_EXECUTION_LOG'!J7="","missing evidence",""))))))</f>
        <v/>
      </c>
      <c r="N7" t="str">
        <f>IF(A7="","",IF(AND(L7=TRUE,'03_EXECUTION_LOG'!I7=FALSE),"high",IF(AND(L7=TRUE,'03_EXECUTION_LOG'!I7=TRUE),"medium","low")))</f>
        <v/>
      </c>
      <c r="O7" t="str">
        <f>IF(A7="","",IF(AND(L7=TRUE,'03_EXECUTION_LOG'!J7&lt;&gt;""),"yes","needs-review"))</f>
        <v/>
      </c>
    </row>
    <row r="8">
      <c r="A8" t="str">
        <f>IF('03_EXECUTION_LOG'!A8="","",'03_EXECUTION_LOG'!A8)</f>
        <v/>
      </c>
      <c r="B8" t="str">
        <f>IF('03_EXECUTION_LOG'!B8="","",LEFT('03_EXECUTION_LOG'!B8,7))</f>
        <v/>
      </c>
      <c r="C8" t="str">
        <f>IF('03_EXECUTION_LOG'!E8="","",'03_EXECUTION_LOG'!E8)</f>
        <v/>
      </c>
      <c r="D8" t="str">
        <f>IF(C8="","",INDEX('02_TASK_CATALOG'!E:E,MATCH(C8,'02_TASK_CATALOG'!A:A,0)))</f>
        <v/>
      </c>
      <c r="E8">
        <f>IF(C8="","",INDEX('02_TASK_CATALOG'!F:F,MATCH(C8,'02_TASK_CATALOG'!A:A,0)))</f>
        <v>0</v>
      </c>
      <c r="F8">
        <f>IF(C8="","",INDEX('02_TASK_CATALOG'!G:G,MATCH(C8,'02_TASK_CATALOG'!A:A,0)))</f>
        <v>0</v>
      </c>
      <c r="G8">
        <f>IF(C8="","",INDEX('02_TASK_CATALOG'!H:H,MATCH(C8,'02_TASK_CATALOG'!A:A,0)))</f>
        <v>0</v>
      </c>
      <c r="H8">
        <f>IF(A8="","",MAX(0,E8-F8-G8))</f>
        <v>0</v>
      </c>
      <c r="I8">
        <f>IF(A8="","",H8*IF('03_EXECUTION_LOG'!H8="",1,'03_EXECUTION_LOG'!H8)/60)</f>
        <v>0</v>
      </c>
      <c r="J8">
        <f>IF(D8="","",INDEX('01_ASSUMPTIONS'!C:C,MATCH(D8,'01_ASSUMPTIONS'!A:A,0)))</f>
        <v>0</v>
      </c>
      <c r="K8">
        <f>IF(OR(A8="",L8&lt;&gt;TRUE),0,I8*J8)</f>
        <v>0</v>
      </c>
      <c r="L8" t="b">
        <f>IF(A8="","",AND('03_EXECUTION_LOG'!F8="success",INDEX('02_TASK_CATALOG'!J:J,MATCH(C8,'02_TASK_CATALOG'!A:A,0))=TRUE,H8&gt;0,J8&gt;0,'03_EXECUTION_LOG'!J8&lt;&gt;""))</f>
        <v>0</v>
      </c>
      <c r="M8" t="str">
        <f>IF(A8="","",IF('03_EXECUTION_LOG'!F8&lt;&gt;"success","non-success status",IF(INDEX('02_TASK_CATALOG'!J:J,MATCH(C8,'02_TASK_CATALOG'!A:A,0))&lt;&gt;TRUE,"task not approved",IF(H8&lt;=0,"no net time saved",IF(J8&lt;=0,"missing labor rate",IF('03_EXECUTION_LOG'!J8="","missing evidence",""))))))</f>
        <v/>
      </c>
      <c r="N8" t="str">
        <f>IF(A8="","",IF(AND(L8=TRUE,'03_EXECUTION_LOG'!I8=FALSE),"high",IF(AND(L8=TRUE,'03_EXECUTION_LOG'!I8=TRUE),"medium","low")))</f>
        <v/>
      </c>
      <c r="O8" t="str">
        <f>IF(A8="","",IF(AND(L8=TRUE,'03_EXECUTION_LOG'!J8&lt;&gt;""),"yes","needs-review"))</f>
        <v/>
      </c>
    </row>
    <row r="9">
      <c r="A9" t="str">
        <f>IF('03_EXECUTION_LOG'!A9="","",'03_EXECUTION_LOG'!A9)</f>
        <v/>
      </c>
      <c r="B9" t="str">
        <f>IF('03_EXECUTION_LOG'!B9="","",LEFT('03_EXECUTION_LOG'!B9,7))</f>
        <v/>
      </c>
      <c r="C9" t="str">
        <f>IF('03_EXECUTION_LOG'!E9="","",'03_EXECUTION_LOG'!E9)</f>
        <v/>
      </c>
      <c r="D9" t="str">
        <f>IF(C9="","",INDEX('02_TASK_CATALOG'!E:E,MATCH(C9,'02_TASK_CATALOG'!A:A,0)))</f>
        <v/>
      </c>
      <c r="E9">
        <f>IF(C9="","",INDEX('02_TASK_CATALOG'!F:F,MATCH(C9,'02_TASK_CATALOG'!A:A,0)))</f>
        <v>0</v>
      </c>
      <c r="F9">
        <f>IF(C9="","",INDEX('02_TASK_CATALOG'!G:G,MATCH(C9,'02_TASK_CATALOG'!A:A,0)))</f>
        <v>0</v>
      </c>
      <c r="G9">
        <f>IF(C9="","",INDEX('02_TASK_CATALOG'!H:H,MATCH(C9,'02_TASK_CATALOG'!A:A,0)))</f>
        <v>0</v>
      </c>
      <c r="H9">
        <f>IF(A9="","",MAX(0,E9-F9-G9))</f>
        <v>0</v>
      </c>
      <c r="I9">
        <f>IF(A9="","",H9*IF('03_EXECUTION_LOG'!H9="",1,'03_EXECUTION_LOG'!H9)/60)</f>
        <v>0</v>
      </c>
      <c r="J9">
        <f>IF(D9="","",INDEX('01_ASSUMPTIONS'!C:C,MATCH(D9,'01_ASSUMPTIONS'!A:A,0)))</f>
        <v>0</v>
      </c>
      <c r="K9">
        <f>IF(OR(A9="",L9&lt;&gt;TRUE),0,I9*J9)</f>
        <v>0</v>
      </c>
      <c r="L9" t="b">
        <f>IF(A9="","",AND('03_EXECUTION_LOG'!F9="success",INDEX('02_TASK_CATALOG'!J:J,MATCH(C9,'02_TASK_CATALOG'!A:A,0))=TRUE,H9&gt;0,J9&gt;0,'03_EXECUTION_LOG'!J9&lt;&gt;""))</f>
        <v>0</v>
      </c>
      <c r="M9" t="str">
        <f>IF(A9="","",IF('03_EXECUTION_LOG'!F9&lt;&gt;"success","non-success status",IF(INDEX('02_TASK_CATALOG'!J:J,MATCH(C9,'02_TASK_CATALOG'!A:A,0))&lt;&gt;TRUE,"task not approved",IF(H9&lt;=0,"no net time saved",IF(J9&lt;=0,"missing labor rate",IF('03_EXECUTION_LOG'!J9="","missing evidence",""))))))</f>
        <v/>
      </c>
      <c r="N9" t="str">
        <f>IF(A9="","",IF(AND(L9=TRUE,'03_EXECUTION_LOG'!I9=FALSE),"high",IF(AND(L9=TRUE,'03_EXECUTION_LOG'!I9=TRUE),"medium","low")))</f>
        <v/>
      </c>
      <c r="O9" t="str">
        <f>IF(A9="","",IF(AND(L9=TRUE,'03_EXECUTION_LOG'!J9&lt;&gt;""),"yes","needs-review"))</f>
        <v/>
      </c>
    </row>
    <row r="10">
      <c r="A10" t="str">
        <f>IF('03_EXECUTION_LOG'!A10="","",'03_EXECUTION_LOG'!A10)</f>
        <v/>
      </c>
      <c r="B10" t="str">
        <f>IF('03_EXECUTION_LOG'!B10="","",LEFT('03_EXECUTION_LOG'!B10,7))</f>
        <v/>
      </c>
      <c r="C10" t="str">
        <f>IF('03_EXECUTION_LOG'!E10="","",'03_EXECUTION_LOG'!E10)</f>
        <v/>
      </c>
      <c r="D10" t="str">
        <f>IF(C10="","",INDEX('02_TASK_CATALOG'!E:E,MATCH(C10,'02_TASK_CATALOG'!A:A,0)))</f>
        <v/>
      </c>
      <c r="E10">
        <f>IF(C10="","",INDEX('02_TASK_CATALOG'!F:F,MATCH(C10,'02_TASK_CATALOG'!A:A,0)))</f>
        <v>0</v>
      </c>
      <c r="F10">
        <f>IF(C10="","",INDEX('02_TASK_CATALOG'!G:G,MATCH(C10,'02_TASK_CATALOG'!A:A,0)))</f>
        <v>0</v>
      </c>
      <c r="G10">
        <f>IF(C10="","",INDEX('02_TASK_CATALOG'!H:H,MATCH(C10,'02_TASK_CATALOG'!A:A,0)))</f>
        <v>0</v>
      </c>
      <c r="H10">
        <f>IF(A10="","",MAX(0,E10-F10-G10))</f>
        <v>0</v>
      </c>
      <c r="I10">
        <f>IF(A10="","",H10*IF('03_EXECUTION_LOG'!H10="",1,'03_EXECUTION_LOG'!H10)/60)</f>
        <v>0</v>
      </c>
      <c r="J10">
        <f>IF(D10="","",INDEX('01_ASSUMPTIONS'!C:C,MATCH(D10,'01_ASSUMPTIONS'!A:A,0)))</f>
        <v>0</v>
      </c>
      <c r="K10">
        <f>IF(OR(A10="",L10&lt;&gt;TRUE),0,I10*J10)</f>
        <v>0</v>
      </c>
      <c r="L10" t="b">
        <f>IF(A10="","",AND('03_EXECUTION_LOG'!F10="success",INDEX('02_TASK_CATALOG'!J:J,MATCH(C10,'02_TASK_CATALOG'!A:A,0))=TRUE,H10&gt;0,J10&gt;0,'03_EXECUTION_LOG'!J10&lt;&gt;""))</f>
        <v>0</v>
      </c>
      <c r="M10" t="str">
        <f>IF(A10="","",IF('03_EXECUTION_LOG'!F10&lt;&gt;"success","non-success status",IF(INDEX('02_TASK_CATALOG'!J:J,MATCH(C10,'02_TASK_CATALOG'!A:A,0))&lt;&gt;TRUE,"task not approved",IF(H10&lt;=0,"no net time saved",IF(J10&lt;=0,"missing labor rate",IF('03_EXECUTION_LOG'!J10="","missing evidence",""))))))</f>
        <v/>
      </c>
      <c r="N10" t="str">
        <f>IF(A10="","",IF(AND(L10=TRUE,'03_EXECUTION_LOG'!I10=FALSE),"high",IF(AND(L10=TRUE,'03_EXECUTION_LOG'!I10=TRUE),"medium","low")))</f>
        <v/>
      </c>
      <c r="O10" t="str">
        <f>IF(A10="","",IF(AND(L10=TRUE,'03_EXECUTION_LOG'!J10&lt;&gt;""),"yes","needs-review"))</f>
        <v/>
      </c>
    </row>
    <row r="11">
      <c r="A11" t="str">
        <f>IF('03_EXECUTION_LOG'!A11="","",'03_EXECUTION_LOG'!A11)</f>
        <v/>
      </c>
      <c r="B11" t="str">
        <f>IF('03_EXECUTION_LOG'!B11="","",LEFT('03_EXECUTION_LOG'!B11,7))</f>
        <v/>
      </c>
      <c r="C11" t="str">
        <f>IF('03_EXECUTION_LOG'!E11="","",'03_EXECUTION_LOG'!E11)</f>
        <v/>
      </c>
      <c r="D11" t="str">
        <f>IF(C11="","",INDEX('02_TASK_CATALOG'!E:E,MATCH(C11,'02_TASK_CATALOG'!A:A,0)))</f>
        <v/>
      </c>
      <c r="E11">
        <f>IF(C11="","",INDEX('02_TASK_CATALOG'!F:F,MATCH(C11,'02_TASK_CATALOG'!A:A,0)))</f>
        <v>0</v>
      </c>
      <c r="F11">
        <f>IF(C11="","",INDEX('02_TASK_CATALOG'!G:G,MATCH(C11,'02_TASK_CATALOG'!A:A,0)))</f>
        <v>0</v>
      </c>
      <c r="G11">
        <f>IF(C11="","",INDEX('02_TASK_CATALOG'!H:H,MATCH(C11,'02_TASK_CATALOG'!A:A,0)))</f>
        <v>0</v>
      </c>
      <c r="H11">
        <f>IF(A11="","",MAX(0,E11-F11-G11))</f>
        <v>0</v>
      </c>
      <c r="I11">
        <f>IF(A11="","",H11*IF('03_EXECUTION_LOG'!H11="",1,'03_EXECUTION_LOG'!H11)/60)</f>
        <v>0</v>
      </c>
      <c r="J11">
        <f>IF(D11="","",INDEX('01_ASSUMPTIONS'!C:C,MATCH(D11,'01_ASSUMPTIONS'!A:A,0)))</f>
        <v>0</v>
      </c>
      <c r="K11">
        <f>IF(OR(A11="",L11&lt;&gt;TRUE),0,I11*J11)</f>
        <v>0</v>
      </c>
      <c r="L11" t="b">
        <f>IF(A11="","",AND('03_EXECUTION_LOG'!F11="success",INDEX('02_TASK_CATALOG'!J:J,MATCH(C11,'02_TASK_CATALOG'!A:A,0))=TRUE,H11&gt;0,J11&gt;0,'03_EXECUTION_LOG'!J11&lt;&gt;""))</f>
        <v>0</v>
      </c>
      <c r="M11" t="str">
        <f>IF(A11="","",IF('03_EXECUTION_LOG'!F11&lt;&gt;"success","non-success status",IF(INDEX('02_TASK_CATALOG'!J:J,MATCH(C11,'02_TASK_CATALOG'!A:A,0))&lt;&gt;TRUE,"task not approved",IF(H11&lt;=0,"no net time saved",IF(J11&lt;=0,"missing labor rate",IF('03_EXECUTION_LOG'!J11="","missing evidence",""))))))</f>
        <v/>
      </c>
      <c r="N11" t="str">
        <f>IF(A11="","",IF(AND(L11=TRUE,'03_EXECUTION_LOG'!I11=FALSE),"high",IF(AND(L11=TRUE,'03_EXECUTION_LOG'!I11=TRUE),"medium","low")))</f>
        <v/>
      </c>
      <c r="O11" t="str">
        <f>IF(A11="","",IF(AND(L11=TRUE,'03_EXECUTION_LOG'!J11&lt;&gt;""),"yes","needs-review"))</f>
        <v/>
      </c>
    </row>
    <row r="12">
      <c r="A12" t="str">
        <f>IF('03_EXECUTION_LOG'!A12="","",'03_EXECUTION_LOG'!A12)</f>
        <v/>
      </c>
      <c r="B12" t="str">
        <f>IF('03_EXECUTION_LOG'!B12="","",LEFT('03_EXECUTION_LOG'!B12,7))</f>
        <v/>
      </c>
      <c r="C12" t="str">
        <f>IF('03_EXECUTION_LOG'!E12="","",'03_EXECUTION_LOG'!E12)</f>
        <v/>
      </c>
      <c r="D12" t="str">
        <f>IF(C12="","",INDEX('02_TASK_CATALOG'!E:E,MATCH(C12,'02_TASK_CATALOG'!A:A,0)))</f>
        <v/>
      </c>
      <c r="E12">
        <f>IF(C12="","",INDEX('02_TASK_CATALOG'!F:F,MATCH(C12,'02_TASK_CATALOG'!A:A,0)))</f>
        <v>0</v>
      </c>
      <c r="F12">
        <f>IF(C12="","",INDEX('02_TASK_CATALOG'!G:G,MATCH(C12,'02_TASK_CATALOG'!A:A,0)))</f>
        <v>0</v>
      </c>
      <c r="G12">
        <f>IF(C12="","",INDEX('02_TASK_CATALOG'!H:H,MATCH(C12,'02_TASK_CATALOG'!A:A,0)))</f>
        <v>0</v>
      </c>
      <c r="H12">
        <f>IF(A12="","",MAX(0,E12-F12-G12))</f>
        <v>0</v>
      </c>
      <c r="I12">
        <f>IF(A12="","",H12*IF('03_EXECUTION_LOG'!H12="",1,'03_EXECUTION_LOG'!H12)/60)</f>
        <v>0</v>
      </c>
      <c r="J12">
        <f>IF(D12="","",INDEX('01_ASSUMPTIONS'!C:C,MATCH(D12,'01_ASSUMPTIONS'!A:A,0)))</f>
        <v>0</v>
      </c>
      <c r="K12">
        <f>IF(OR(A12="",L12&lt;&gt;TRUE),0,I12*J12)</f>
        <v>0</v>
      </c>
      <c r="L12" t="b">
        <f>IF(A12="","",AND('03_EXECUTION_LOG'!F12="success",INDEX('02_TASK_CATALOG'!J:J,MATCH(C12,'02_TASK_CATALOG'!A:A,0))=TRUE,H12&gt;0,J12&gt;0,'03_EXECUTION_LOG'!J12&lt;&gt;""))</f>
        <v>0</v>
      </c>
      <c r="M12" t="str">
        <f>IF(A12="","",IF('03_EXECUTION_LOG'!F12&lt;&gt;"success","non-success status",IF(INDEX('02_TASK_CATALOG'!J:J,MATCH(C12,'02_TASK_CATALOG'!A:A,0))&lt;&gt;TRUE,"task not approved",IF(H12&lt;=0,"no net time saved",IF(J12&lt;=0,"missing labor rate",IF('03_EXECUTION_LOG'!J12="","missing evidence",""))))))</f>
        <v/>
      </c>
      <c r="N12" t="str">
        <f>IF(A12="","",IF(AND(L12=TRUE,'03_EXECUTION_LOG'!I12=FALSE),"high",IF(AND(L12=TRUE,'03_EXECUTION_LOG'!I12=TRUE),"medium","low")))</f>
        <v/>
      </c>
      <c r="O12" t="str">
        <f>IF(A12="","",IF(AND(L12=TRUE,'03_EXECUTION_LOG'!J12&lt;&gt;""),"yes","needs-review"))</f>
        <v/>
      </c>
    </row>
    <row r="13">
      <c r="A13" t="str">
        <f>IF('03_EXECUTION_LOG'!A13="","",'03_EXECUTION_LOG'!A13)</f>
        <v/>
      </c>
      <c r="B13" t="str">
        <f>IF('03_EXECUTION_LOG'!B13="","",LEFT('03_EXECUTION_LOG'!B13,7))</f>
        <v/>
      </c>
      <c r="C13" t="str">
        <f>IF('03_EXECUTION_LOG'!E13="","",'03_EXECUTION_LOG'!E13)</f>
        <v/>
      </c>
      <c r="D13" t="str">
        <f>IF(C13="","",INDEX('02_TASK_CATALOG'!E:E,MATCH(C13,'02_TASK_CATALOG'!A:A,0)))</f>
        <v/>
      </c>
      <c r="E13">
        <f>IF(C13="","",INDEX('02_TASK_CATALOG'!F:F,MATCH(C13,'02_TASK_CATALOG'!A:A,0)))</f>
        <v>0</v>
      </c>
      <c r="F13">
        <f>IF(C13="","",INDEX('02_TASK_CATALOG'!G:G,MATCH(C13,'02_TASK_CATALOG'!A:A,0)))</f>
        <v>0</v>
      </c>
      <c r="G13">
        <f>IF(C13="","",INDEX('02_TASK_CATALOG'!H:H,MATCH(C13,'02_TASK_CATALOG'!A:A,0)))</f>
        <v>0</v>
      </c>
      <c r="H13">
        <f>IF(A13="","",MAX(0,E13-F13-G13))</f>
        <v>0</v>
      </c>
      <c r="I13">
        <f>IF(A13="","",H13*IF('03_EXECUTION_LOG'!H13="",1,'03_EXECUTION_LOG'!H13)/60)</f>
        <v>0</v>
      </c>
      <c r="J13">
        <f>IF(D13="","",INDEX('01_ASSUMPTIONS'!C:C,MATCH(D13,'01_ASSUMPTIONS'!A:A,0)))</f>
        <v>0</v>
      </c>
      <c r="K13">
        <f>IF(OR(A13="",L13&lt;&gt;TRUE),0,I13*J13)</f>
        <v>0</v>
      </c>
      <c r="L13" t="b">
        <f>IF(A13="","",AND('03_EXECUTION_LOG'!F13="success",INDEX('02_TASK_CATALOG'!J:J,MATCH(C13,'02_TASK_CATALOG'!A:A,0))=TRUE,H13&gt;0,J13&gt;0,'03_EXECUTION_LOG'!J13&lt;&gt;""))</f>
        <v>0</v>
      </c>
      <c r="M13" t="str">
        <f>IF(A13="","",IF('03_EXECUTION_LOG'!F13&lt;&gt;"success","non-success status",IF(INDEX('02_TASK_CATALOG'!J:J,MATCH(C13,'02_TASK_CATALOG'!A:A,0))&lt;&gt;TRUE,"task not approved",IF(H13&lt;=0,"no net time saved",IF(J13&lt;=0,"missing labor rate",IF('03_EXECUTION_LOG'!J13="","missing evidence",""))))))</f>
        <v/>
      </c>
      <c r="N13" t="str">
        <f>IF(A13="","",IF(AND(L13=TRUE,'03_EXECUTION_LOG'!I13=FALSE),"high",IF(AND(L13=TRUE,'03_EXECUTION_LOG'!I13=TRUE),"medium","low")))</f>
        <v/>
      </c>
      <c r="O13" t="str">
        <f>IF(A13="","",IF(AND(L13=TRUE,'03_EXECUTION_LOG'!J13&lt;&gt;""),"yes","needs-review"))</f>
        <v/>
      </c>
    </row>
    <row r="14">
      <c r="A14" t="str">
        <f>IF('03_EXECUTION_LOG'!A14="","",'03_EXECUTION_LOG'!A14)</f>
        <v/>
      </c>
      <c r="B14" t="str">
        <f>IF('03_EXECUTION_LOG'!B14="","",LEFT('03_EXECUTION_LOG'!B14,7))</f>
        <v/>
      </c>
      <c r="C14" t="str">
        <f>IF('03_EXECUTION_LOG'!E14="","",'03_EXECUTION_LOG'!E14)</f>
        <v/>
      </c>
      <c r="D14" t="str">
        <f>IF(C14="","",INDEX('02_TASK_CATALOG'!E:E,MATCH(C14,'02_TASK_CATALOG'!A:A,0)))</f>
        <v/>
      </c>
      <c r="E14">
        <f>IF(C14="","",INDEX('02_TASK_CATALOG'!F:F,MATCH(C14,'02_TASK_CATALOG'!A:A,0)))</f>
        <v>0</v>
      </c>
      <c r="F14">
        <f>IF(C14="","",INDEX('02_TASK_CATALOG'!G:G,MATCH(C14,'02_TASK_CATALOG'!A:A,0)))</f>
        <v>0</v>
      </c>
      <c r="G14">
        <f>IF(C14="","",INDEX('02_TASK_CATALOG'!H:H,MATCH(C14,'02_TASK_CATALOG'!A:A,0)))</f>
        <v>0</v>
      </c>
      <c r="H14">
        <f>IF(A14="","",MAX(0,E14-F14-G14))</f>
        <v>0</v>
      </c>
      <c r="I14">
        <f>IF(A14="","",H14*IF('03_EXECUTION_LOG'!H14="",1,'03_EXECUTION_LOG'!H14)/60)</f>
        <v>0</v>
      </c>
      <c r="J14">
        <f>IF(D14="","",INDEX('01_ASSUMPTIONS'!C:C,MATCH(D14,'01_ASSUMPTIONS'!A:A,0)))</f>
        <v>0</v>
      </c>
      <c r="K14">
        <f>IF(OR(A14="",L14&lt;&gt;TRUE),0,I14*J14)</f>
        <v>0</v>
      </c>
      <c r="L14" t="b">
        <f>IF(A14="","",AND('03_EXECUTION_LOG'!F14="success",INDEX('02_TASK_CATALOG'!J:J,MATCH(C14,'02_TASK_CATALOG'!A:A,0))=TRUE,H14&gt;0,J14&gt;0,'03_EXECUTION_LOG'!J14&lt;&gt;""))</f>
        <v>0</v>
      </c>
      <c r="M14" t="str">
        <f>IF(A14="","",IF('03_EXECUTION_LOG'!F14&lt;&gt;"success","non-success status",IF(INDEX('02_TASK_CATALOG'!J:J,MATCH(C14,'02_TASK_CATALOG'!A:A,0))&lt;&gt;TRUE,"task not approved",IF(H14&lt;=0,"no net time saved",IF(J14&lt;=0,"missing labor rate",IF('03_EXECUTION_LOG'!J14="","missing evidence",""))))))</f>
        <v/>
      </c>
      <c r="N14" t="str">
        <f>IF(A14="","",IF(AND(L14=TRUE,'03_EXECUTION_LOG'!I14=FALSE),"high",IF(AND(L14=TRUE,'03_EXECUTION_LOG'!I14=TRUE),"medium","low")))</f>
        <v/>
      </c>
      <c r="O14" t="str">
        <f>IF(A14="","",IF(AND(L14=TRUE,'03_EXECUTION_LOG'!J14&lt;&gt;""),"yes","needs-review"))</f>
        <v/>
      </c>
    </row>
    <row r="15">
      <c r="A15" t="str">
        <f>IF('03_EXECUTION_LOG'!A15="","",'03_EXECUTION_LOG'!A15)</f>
        <v/>
      </c>
      <c r="B15" t="str">
        <f>IF('03_EXECUTION_LOG'!B15="","",LEFT('03_EXECUTION_LOG'!B15,7))</f>
        <v/>
      </c>
      <c r="C15" t="str">
        <f>IF('03_EXECUTION_LOG'!E15="","",'03_EXECUTION_LOG'!E15)</f>
        <v/>
      </c>
      <c r="D15" t="str">
        <f>IF(C15="","",INDEX('02_TASK_CATALOG'!E:E,MATCH(C15,'02_TASK_CATALOG'!A:A,0)))</f>
        <v/>
      </c>
      <c r="E15">
        <f>IF(C15="","",INDEX('02_TASK_CATALOG'!F:F,MATCH(C15,'02_TASK_CATALOG'!A:A,0)))</f>
        <v>0</v>
      </c>
      <c r="F15">
        <f>IF(C15="","",INDEX('02_TASK_CATALOG'!G:G,MATCH(C15,'02_TASK_CATALOG'!A:A,0)))</f>
        <v>0</v>
      </c>
      <c r="G15">
        <f>IF(C15="","",INDEX('02_TASK_CATALOG'!H:H,MATCH(C15,'02_TASK_CATALOG'!A:A,0)))</f>
        <v>0</v>
      </c>
      <c r="H15">
        <f>IF(A15="","",MAX(0,E15-F15-G15))</f>
        <v>0</v>
      </c>
      <c r="I15">
        <f>IF(A15="","",H15*IF('03_EXECUTION_LOG'!H15="",1,'03_EXECUTION_LOG'!H15)/60)</f>
        <v>0</v>
      </c>
      <c r="J15">
        <f>IF(D15="","",INDEX('01_ASSUMPTIONS'!C:C,MATCH(D15,'01_ASSUMPTIONS'!A:A,0)))</f>
        <v>0</v>
      </c>
      <c r="K15">
        <f>IF(OR(A15="",L15&lt;&gt;TRUE),0,I15*J15)</f>
        <v>0</v>
      </c>
      <c r="L15" t="b">
        <f>IF(A15="","",AND('03_EXECUTION_LOG'!F15="success",INDEX('02_TASK_CATALOG'!J:J,MATCH(C15,'02_TASK_CATALOG'!A:A,0))=TRUE,H15&gt;0,J15&gt;0,'03_EXECUTION_LOG'!J15&lt;&gt;""))</f>
        <v>0</v>
      </c>
      <c r="M15" t="str">
        <f>IF(A15="","",IF('03_EXECUTION_LOG'!F15&lt;&gt;"success","non-success status",IF(INDEX('02_TASK_CATALOG'!J:J,MATCH(C15,'02_TASK_CATALOG'!A:A,0))&lt;&gt;TRUE,"task not approved",IF(H15&lt;=0,"no net time saved",IF(J15&lt;=0,"missing labor rate",IF('03_EXECUTION_LOG'!J15="","missing evidence",""))))))</f>
        <v/>
      </c>
      <c r="N15" t="str">
        <f>IF(A15="","",IF(AND(L15=TRUE,'03_EXECUTION_LOG'!I15=FALSE),"high",IF(AND(L15=TRUE,'03_EXECUTION_LOG'!I15=TRUE),"medium","low")))</f>
        <v/>
      </c>
      <c r="O15" t="str">
        <f>IF(A15="","",IF(AND(L15=TRUE,'03_EXECUTION_LOG'!J15&lt;&gt;""),"yes","needs-review"))</f>
        <v/>
      </c>
    </row>
    <row r="16">
      <c r="A16" t="str">
        <f>IF('03_EXECUTION_LOG'!A16="","",'03_EXECUTION_LOG'!A16)</f>
        <v/>
      </c>
      <c r="B16" t="str">
        <f>IF('03_EXECUTION_LOG'!B16="","",LEFT('03_EXECUTION_LOG'!B16,7))</f>
        <v/>
      </c>
      <c r="C16" t="str">
        <f>IF('03_EXECUTION_LOG'!E16="","",'03_EXECUTION_LOG'!E16)</f>
        <v/>
      </c>
      <c r="D16" t="str">
        <f>IF(C16="","",INDEX('02_TASK_CATALOG'!E:E,MATCH(C16,'02_TASK_CATALOG'!A:A,0)))</f>
        <v/>
      </c>
      <c r="E16">
        <f>IF(C16="","",INDEX('02_TASK_CATALOG'!F:F,MATCH(C16,'02_TASK_CATALOG'!A:A,0)))</f>
        <v>0</v>
      </c>
      <c r="F16">
        <f>IF(C16="","",INDEX('02_TASK_CATALOG'!G:G,MATCH(C16,'02_TASK_CATALOG'!A:A,0)))</f>
        <v>0</v>
      </c>
      <c r="G16">
        <f>IF(C16="","",INDEX('02_TASK_CATALOG'!H:H,MATCH(C16,'02_TASK_CATALOG'!A:A,0)))</f>
        <v>0</v>
      </c>
      <c r="H16">
        <f>IF(A16="","",MAX(0,E16-F16-G16))</f>
        <v>0</v>
      </c>
      <c r="I16">
        <f>IF(A16="","",H16*IF('03_EXECUTION_LOG'!H16="",1,'03_EXECUTION_LOG'!H16)/60)</f>
        <v>0</v>
      </c>
      <c r="J16">
        <f>IF(D16="","",INDEX('01_ASSUMPTIONS'!C:C,MATCH(D16,'01_ASSUMPTIONS'!A:A,0)))</f>
        <v>0</v>
      </c>
      <c r="K16">
        <f>IF(OR(A16="",L16&lt;&gt;TRUE),0,I16*J16)</f>
        <v>0</v>
      </c>
      <c r="L16" t="b">
        <f>IF(A16="","",AND('03_EXECUTION_LOG'!F16="success",INDEX('02_TASK_CATALOG'!J:J,MATCH(C16,'02_TASK_CATALOG'!A:A,0))=TRUE,H16&gt;0,J16&gt;0,'03_EXECUTION_LOG'!J16&lt;&gt;""))</f>
        <v>0</v>
      </c>
      <c r="M16" t="str">
        <f>IF(A16="","",IF('03_EXECUTION_LOG'!F16&lt;&gt;"success","non-success status",IF(INDEX('02_TASK_CATALOG'!J:J,MATCH(C16,'02_TASK_CATALOG'!A:A,0))&lt;&gt;TRUE,"task not approved",IF(H16&lt;=0,"no net time saved",IF(J16&lt;=0,"missing labor rate",IF('03_EXECUTION_LOG'!J16="","missing evidence",""))))))</f>
        <v/>
      </c>
      <c r="N16" t="str">
        <f>IF(A16="","",IF(AND(L16=TRUE,'03_EXECUTION_LOG'!I16=FALSE),"high",IF(AND(L16=TRUE,'03_EXECUTION_LOG'!I16=TRUE),"medium","low")))</f>
        <v/>
      </c>
      <c r="O16" t="str">
        <f>IF(A16="","",IF(AND(L16=TRUE,'03_EXECUTION_LOG'!J16&lt;&gt;""),"yes","needs-review"))</f>
        <v/>
      </c>
    </row>
    <row r="17">
      <c r="A17" t="str">
        <f>IF('03_EXECUTION_LOG'!A17="","",'03_EXECUTION_LOG'!A17)</f>
        <v/>
      </c>
      <c r="B17" t="str">
        <f>IF('03_EXECUTION_LOG'!B17="","",LEFT('03_EXECUTION_LOG'!B17,7))</f>
        <v/>
      </c>
      <c r="C17" t="str">
        <f>IF('03_EXECUTION_LOG'!E17="","",'03_EXECUTION_LOG'!E17)</f>
        <v/>
      </c>
      <c r="D17" t="str">
        <f>IF(C17="","",INDEX('02_TASK_CATALOG'!E:E,MATCH(C17,'02_TASK_CATALOG'!A:A,0)))</f>
        <v/>
      </c>
      <c r="E17">
        <f>IF(C17="","",INDEX('02_TASK_CATALOG'!F:F,MATCH(C17,'02_TASK_CATALOG'!A:A,0)))</f>
        <v>0</v>
      </c>
      <c r="F17">
        <f>IF(C17="","",INDEX('02_TASK_CATALOG'!G:G,MATCH(C17,'02_TASK_CATALOG'!A:A,0)))</f>
        <v>0</v>
      </c>
      <c r="G17">
        <f>IF(C17="","",INDEX('02_TASK_CATALOG'!H:H,MATCH(C17,'02_TASK_CATALOG'!A:A,0)))</f>
        <v>0</v>
      </c>
      <c r="H17">
        <f>IF(A17="","",MAX(0,E17-F17-G17))</f>
        <v>0</v>
      </c>
      <c r="I17">
        <f>IF(A17="","",H17*IF('03_EXECUTION_LOG'!H17="",1,'03_EXECUTION_LOG'!H17)/60)</f>
        <v>0</v>
      </c>
      <c r="J17">
        <f>IF(D17="","",INDEX('01_ASSUMPTIONS'!C:C,MATCH(D17,'01_ASSUMPTIONS'!A:A,0)))</f>
        <v>0</v>
      </c>
      <c r="K17">
        <f>IF(OR(A17="",L17&lt;&gt;TRUE),0,I17*J17)</f>
        <v>0</v>
      </c>
      <c r="L17" t="b">
        <f>IF(A17="","",AND('03_EXECUTION_LOG'!F17="success",INDEX('02_TASK_CATALOG'!J:J,MATCH(C17,'02_TASK_CATALOG'!A:A,0))=TRUE,H17&gt;0,J17&gt;0,'03_EXECUTION_LOG'!J17&lt;&gt;""))</f>
        <v>0</v>
      </c>
      <c r="M17" t="str">
        <f>IF(A17="","",IF('03_EXECUTION_LOG'!F17&lt;&gt;"success","non-success status",IF(INDEX('02_TASK_CATALOG'!J:J,MATCH(C17,'02_TASK_CATALOG'!A:A,0))&lt;&gt;TRUE,"task not approved",IF(H17&lt;=0,"no net time saved",IF(J17&lt;=0,"missing labor rate",IF('03_EXECUTION_LOG'!J17="","missing evidence",""))))))</f>
        <v/>
      </c>
      <c r="N17" t="str">
        <f>IF(A17="","",IF(AND(L17=TRUE,'03_EXECUTION_LOG'!I17=FALSE),"high",IF(AND(L17=TRUE,'03_EXECUTION_LOG'!I17=TRUE),"medium","low")))</f>
        <v/>
      </c>
      <c r="O17" t="str">
        <f>IF(A17="","",IF(AND(L17=TRUE,'03_EXECUTION_LOG'!J17&lt;&gt;""),"yes","needs-review"))</f>
        <v/>
      </c>
    </row>
    <row r="18">
      <c r="A18" t="str">
        <f>IF('03_EXECUTION_LOG'!A18="","",'03_EXECUTION_LOG'!A18)</f>
        <v/>
      </c>
      <c r="B18" t="str">
        <f>IF('03_EXECUTION_LOG'!B18="","",LEFT('03_EXECUTION_LOG'!B18,7))</f>
        <v/>
      </c>
      <c r="C18" t="str">
        <f>IF('03_EXECUTION_LOG'!E18="","",'03_EXECUTION_LOG'!E18)</f>
        <v/>
      </c>
      <c r="D18" t="str">
        <f>IF(C18="","",INDEX('02_TASK_CATALOG'!E:E,MATCH(C18,'02_TASK_CATALOG'!A:A,0)))</f>
        <v/>
      </c>
      <c r="E18">
        <f>IF(C18="","",INDEX('02_TASK_CATALOG'!F:F,MATCH(C18,'02_TASK_CATALOG'!A:A,0)))</f>
        <v>0</v>
      </c>
      <c r="F18">
        <f>IF(C18="","",INDEX('02_TASK_CATALOG'!G:G,MATCH(C18,'02_TASK_CATALOG'!A:A,0)))</f>
        <v>0</v>
      </c>
      <c r="G18">
        <f>IF(C18="","",INDEX('02_TASK_CATALOG'!H:H,MATCH(C18,'02_TASK_CATALOG'!A:A,0)))</f>
        <v>0</v>
      </c>
      <c r="H18">
        <f>IF(A18="","",MAX(0,E18-F18-G18))</f>
        <v>0</v>
      </c>
      <c r="I18">
        <f>IF(A18="","",H18*IF('03_EXECUTION_LOG'!H18="",1,'03_EXECUTION_LOG'!H18)/60)</f>
        <v>0</v>
      </c>
      <c r="J18">
        <f>IF(D18="","",INDEX('01_ASSUMPTIONS'!C:C,MATCH(D18,'01_ASSUMPTIONS'!A:A,0)))</f>
        <v>0</v>
      </c>
      <c r="K18">
        <f>IF(OR(A18="",L18&lt;&gt;TRUE),0,I18*J18)</f>
        <v>0</v>
      </c>
      <c r="L18" t="b">
        <f>IF(A18="","",AND('03_EXECUTION_LOG'!F18="success",INDEX('02_TASK_CATALOG'!J:J,MATCH(C18,'02_TASK_CATALOG'!A:A,0))=TRUE,H18&gt;0,J18&gt;0,'03_EXECUTION_LOG'!J18&lt;&gt;""))</f>
        <v>0</v>
      </c>
      <c r="M18" t="str">
        <f>IF(A18="","",IF('03_EXECUTION_LOG'!F18&lt;&gt;"success","non-success status",IF(INDEX('02_TASK_CATALOG'!J:J,MATCH(C18,'02_TASK_CATALOG'!A:A,0))&lt;&gt;TRUE,"task not approved",IF(H18&lt;=0,"no net time saved",IF(J18&lt;=0,"missing labor rate",IF('03_EXECUTION_LOG'!J18="","missing evidence",""))))))</f>
        <v/>
      </c>
      <c r="N18" t="str">
        <f>IF(A18="","",IF(AND(L18=TRUE,'03_EXECUTION_LOG'!I18=FALSE),"high",IF(AND(L18=TRUE,'03_EXECUTION_LOG'!I18=TRUE),"medium","low")))</f>
        <v/>
      </c>
      <c r="O18" t="str">
        <f>IF(A18="","",IF(AND(L18=TRUE,'03_EXECUTION_LOG'!J18&lt;&gt;""),"yes","needs-review"))</f>
        <v/>
      </c>
    </row>
    <row r="19">
      <c r="A19" t="str">
        <f>IF('03_EXECUTION_LOG'!A19="","",'03_EXECUTION_LOG'!A19)</f>
        <v/>
      </c>
      <c r="B19" t="str">
        <f>IF('03_EXECUTION_LOG'!B19="","",LEFT('03_EXECUTION_LOG'!B19,7))</f>
        <v/>
      </c>
      <c r="C19" t="str">
        <f>IF('03_EXECUTION_LOG'!E19="","",'03_EXECUTION_LOG'!E19)</f>
        <v/>
      </c>
      <c r="D19" t="str">
        <f>IF(C19="","",INDEX('02_TASK_CATALOG'!E:E,MATCH(C19,'02_TASK_CATALOG'!A:A,0)))</f>
        <v/>
      </c>
      <c r="E19">
        <f>IF(C19="","",INDEX('02_TASK_CATALOG'!F:F,MATCH(C19,'02_TASK_CATALOG'!A:A,0)))</f>
        <v>0</v>
      </c>
      <c r="F19">
        <f>IF(C19="","",INDEX('02_TASK_CATALOG'!G:G,MATCH(C19,'02_TASK_CATALOG'!A:A,0)))</f>
        <v>0</v>
      </c>
      <c r="G19">
        <f>IF(C19="","",INDEX('02_TASK_CATALOG'!H:H,MATCH(C19,'02_TASK_CATALOG'!A:A,0)))</f>
        <v>0</v>
      </c>
      <c r="H19">
        <f>IF(A19="","",MAX(0,E19-F19-G19))</f>
        <v>0</v>
      </c>
      <c r="I19">
        <f>IF(A19="","",H19*IF('03_EXECUTION_LOG'!H19="",1,'03_EXECUTION_LOG'!H19)/60)</f>
        <v>0</v>
      </c>
      <c r="J19">
        <f>IF(D19="","",INDEX('01_ASSUMPTIONS'!C:C,MATCH(D19,'01_ASSUMPTIONS'!A:A,0)))</f>
        <v>0</v>
      </c>
      <c r="K19">
        <f>IF(OR(A19="",L19&lt;&gt;TRUE),0,I19*J19)</f>
        <v>0</v>
      </c>
      <c r="L19" t="b">
        <f>IF(A19="","",AND('03_EXECUTION_LOG'!F19="success",INDEX('02_TASK_CATALOG'!J:J,MATCH(C19,'02_TASK_CATALOG'!A:A,0))=TRUE,H19&gt;0,J19&gt;0,'03_EXECUTION_LOG'!J19&lt;&gt;""))</f>
        <v>0</v>
      </c>
      <c r="M19" t="str">
        <f>IF(A19="","",IF('03_EXECUTION_LOG'!F19&lt;&gt;"success","non-success status",IF(INDEX('02_TASK_CATALOG'!J:J,MATCH(C19,'02_TASK_CATALOG'!A:A,0))&lt;&gt;TRUE,"task not approved",IF(H19&lt;=0,"no net time saved",IF(J19&lt;=0,"missing labor rate",IF('03_EXECUTION_LOG'!J19="","missing evidence",""))))))</f>
        <v/>
      </c>
      <c r="N19" t="str">
        <f>IF(A19="","",IF(AND(L19=TRUE,'03_EXECUTION_LOG'!I19=FALSE),"high",IF(AND(L19=TRUE,'03_EXECUTION_LOG'!I19=TRUE),"medium","low")))</f>
        <v/>
      </c>
      <c r="O19" t="str">
        <f>IF(A19="","",IF(AND(L19=TRUE,'03_EXECUTION_LOG'!J19&lt;&gt;""),"yes","needs-review"))</f>
        <v/>
      </c>
    </row>
    <row r="20">
      <c r="A20" t="str">
        <f>IF('03_EXECUTION_LOG'!A20="","",'03_EXECUTION_LOG'!A20)</f>
        <v/>
      </c>
      <c r="B20" t="str">
        <f>IF('03_EXECUTION_LOG'!B20="","",LEFT('03_EXECUTION_LOG'!B20,7))</f>
        <v/>
      </c>
      <c r="C20" t="str">
        <f>IF('03_EXECUTION_LOG'!E20="","",'03_EXECUTION_LOG'!E20)</f>
        <v/>
      </c>
      <c r="D20" t="str">
        <f>IF(C20="","",INDEX('02_TASK_CATALOG'!E:E,MATCH(C20,'02_TASK_CATALOG'!A:A,0)))</f>
        <v/>
      </c>
      <c r="E20">
        <f>IF(C20="","",INDEX('02_TASK_CATALOG'!F:F,MATCH(C20,'02_TASK_CATALOG'!A:A,0)))</f>
        <v>0</v>
      </c>
      <c r="F20">
        <f>IF(C20="","",INDEX('02_TASK_CATALOG'!G:G,MATCH(C20,'02_TASK_CATALOG'!A:A,0)))</f>
        <v>0</v>
      </c>
      <c r="G20">
        <f>IF(C20="","",INDEX('02_TASK_CATALOG'!H:H,MATCH(C20,'02_TASK_CATALOG'!A:A,0)))</f>
        <v>0</v>
      </c>
      <c r="H20">
        <f>IF(A20="","",MAX(0,E20-F20-G20))</f>
        <v>0</v>
      </c>
      <c r="I20">
        <f>IF(A20="","",H20*IF('03_EXECUTION_LOG'!H20="",1,'03_EXECUTION_LOG'!H20)/60)</f>
        <v>0</v>
      </c>
      <c r="J20">
        <f>IF(D20="","",INDEX('01_ASSUMPTIONS'!C:C,MATCH(D20,'01_ASSUMPTIONS'!A:A,0)))</f>
        <v>0</v>
      </c>
      <c r="K20">
        <f>IF(OR(A20="",L20&lt;&gt;TRUE),0,I20*J20)</f>
        <v>0</v>
      </c>
      <c r="L20" t="b">
        <f>IF(A20="","",AND('03_EXECUTION_LOG'!F20="success",INDEX('02_TASK_CATALOG'!J:J,MATCH(C20,'02_TASK_CATALOG'!A:A,0))=TRUE,H20&gt;0,J20&gt;0,'03_EXECUTION_LOG'!J20&lt;&gt;""))</f>
        <v>0</v>
      </c>
      <c r="M20" t="str">
        <f>IF(A20="","",IF('03_EXECUTION_LOG'!F20&lt;&gt;"success","non-success status",IF(INDEX('02_TASK_CATALOG'!J:J,MATCH(C20,'02_TASK_CATALOG'!A:A,0))&lt;&gt;TRUE,"task not approved",IF(H20&lt;=0,"no net time saved",IF(J20&lt;=0,"missing labor rate",IF('03_EXECUTION_LOG'!J20="","missing evidence",""))))))</f>
        <v/>
      </c>
      <c r="N20" t="str">
        <f>IF(A20="","",IF(AND(L20=TRUE,'03_EXECUTION_LOG'!I20=FALSE),"high",IF(AND(L20=TRUE,'03_EXECUTION_LOG'!I20=TRUE),"medium","low")))</f>
        <v/>
      </c>
      <c r="O20" t="str">
        <f>IF(A20="","",IF(AND(L20=TRUE,'03_EXECUTION_LOG'!J20&lt;&gt;""),"yes","needs-review"))</f>
        <v/>
      </c>
    </row>
    <row r="21">
      <c r="A21" t="str">
        <f>IF('03_EXECUTION_LOG'!A21="","",'03_EXECUTION_LOG'!A21)</f>
        <v/>
      </c>
      <c r="B21" t="str">
        <f>IF('03_EXECUTION_LOG'!B21="","",LEFT('03_EXECUTION_LOG'!B21,7))</f>
        <v/>
      </c>
      <c r="C21" t="str">
        <f>IF('03_EXECUTION_LOG'!E21="","",'03_EXECUTION_LOG'!E21)</f>
        <v/>
      </c>
      <c r="D21" t="str">
        <f>IF(C21="","",INDEX('02_TASK_CATALOG'!E:E,MATCH(C21,'02_TASK_CATALOG'!A:A,0)))</f>
        <v/>
      </c>
      <c r="E21">
        <f>IF(C21="","",INDEX('02_TASK_CATALOG'!F:F,MATCH(C21,'02_TASK_CATALOG'!A:A,0)))</f>
        <v>0</v>
      </c>
      <c r="F21">
        <f>IF(C21="","",INDEX('02_TASK_CATALOG'!G:G,MATCH(C21,'02_TASK_CATALOG'!A:A,0)))</f>
        <v>0</v>
      </c>
      <c r="G21">
        <f>IF(C21="","",INDEX('02_TASK_CATALOG'!H:H,MATCH(C21,'02_TASK_CATALOG'!A:A,0)))</f>
        <v>0</v>
      </c>
      <c r="H21">
        <f>IF(A21="","",MAX(0,E21-F21-G21))</f>
        <v>0</v>
      </c>
      <c r="I21">
        <f>IF(A21="","",H21*IF('03_EXECUTION_LOG'!H21="",1,'03_EXECUTION_LOG'!H21)/60)</f>
        <v>0</v>
      </c>
      <c r="J21">
        <f>IF(D21="","",INDEX('01_ASSUMPTIONS'!C:C,MATCH(D21,'01_ASSUMPTIONS'!A:A,0)))</f>
        <v>0</v>
      </c>
      <c r="K21">
        <f>IF(OR(A21="",L21&lt;&gt;TRUE),0,I21*J21)</f>
        <v>0</v>
      </c>
      <c r="L21" t="b">
        <f>IF(A21="","",AND('03_EXECUTION_LOG'!F21="success",INDEX('02_TASK_CATALOG'!J:J,MATCH(C21,'02_TASK_CATALOG'!A:A,0))=TRUE,H21&gt;0,J21&gt;0,'03_EXECUTION_LOG'!J21&lt;&gt;""))</f>
        <v>0</v>
      </c>
      <c r="M21" t="str">
        <f>IF(A21="","",IF('03_EXECUTION_LOG'!F21&lt;&gt;"success","non-success status",IF(INDEX('02_TASK_CATALOG'!J:J,MATCH(C21,'02_TASK_CATALOG'!A:A,0))&lt;&gt;TRUE,"task not approved",IF(H21&lt;=0,"no net time saved",IF(J21&lt;=0,"missing labor rate",IF('03_EXECUTION_LOG'!J21="","missing evidence",""))))))</f>
        <v/>
      </c>
      <c r="N21" t="str">
        <f>IF(A21="","",IF(AND(L21=TRUE,'03_EXECUTION_LOG'!I21=FALSE),"high",IF(AND(L21=TRUE,'03_EXECUTION_LOG'!I21=TRUE),"medium","low")))</f>
        <v/>
      </c>
      <c r="O21" t="str">
        <f>IF(A21="","",IF(AND(L21=TRUE,'03_EXECUTION_LOG'!J21&lt;&gt;""),"yes","needs-review"))</f>
        <v/>
      </c>
    </row>
    <row r="22">
      <c r="A22" t="str">
        <f>IF('03_EXECUTION_LOG'!A22="","",'03_EXECUTION_LOG'!A22)</f>
        <v/>
      </c>
      <c r="B22" t="str">
        <f>IF('03_EXECUTION_LOG'!B22="","",LEFT('03_EXECUTION_LOG'!B22,7))</f>
        <v/>
      </c>
      <c r="C22" t="str">
        <f>IF('03_EXECUTION_LOG'!E22="","",'03_EXECUTION_LOG'!E22)</f>
        <v/>
      </c>
      <c r="D22" t="str">
        <f>IF(C22="","",INDEX('02_TASK_CATALOG'!E:E,MATCH(C22,'02_TASK_CATALOG'!A:A,0)))</f>
        <v/>
      </c>
      <c r="E22">
        <f>IF(C22="","",INDEX('02_TASK_CATALOG'!F:F,MATCH(C22,'02_TASK_CATALOG'!A:A,0)))</f>
        <v>0</v>
      </c>
      <c r="F22">
        <f>IF(C22="","",INDEX('02_TASK_CATALOG'!G:G,MATCH(C22,'02_TASK_CATALOG'!A:A,0)))</f>
        <v>0</v>
      </c>
      <c r="G22">
        <f>IF(C22="","",INDEX('02_TASK_CATALOG'!H:H,MATCH(C22,'02_TASK_CATALOG'!A:A,0)))</f>
        <v>0</v>
      </c>
      <c r="H22">
        <f>IF(A22="","",MAX(0,E22-F22-G22))</f>
        <v>0</v>
      </c>
      <c r="I22">
        <f>IF(A22="","",H22*IF('03_EXECUTION_LOG'!H22="",1,'03_EXECUTION_LOG'!H22)/60)</f>
        <v>0</v>
      </c>
      <c r="J22">
        <f>IF(D22="","",INDEX('01_ASSUMPTIONS'!C:C,MATCH(D22,'01_ASSUMPTIONS'!A:A,0)))</f>
        <v>0</v>
      </c>
      <c r="K22">
        <f>IF(OR(A22="",L22&lt;&gt;TRUE),0,I22*J22)</f>
        <v>0</v>
      </c>
      <c r="L22" t="b">
        <f>IF(A22="","",AND('03_EXECUTION_LOG'!F22="success",INDEX('02_TASK_CATALOG'!J:J,MATCH(C22,'02_TASK_CATALOG'!A:A,0))=TRUE,H22&gt;0,J22&gt;0,'03_EXECUTION_LOG'!J22&lt;&gt;""))</f>
        <v>0</v>
      </c>
      <c r="M22" t="str">
        <f>IF(A22="","",IF('03_EXECUTION_LOG'!F22&lt;&gt;"success","non-success status",IF(INDEX('02_TASK_CATALOG'!J:J,MATCH(C22,'02_TASK_CATALOG'!A:A,0))&lt;&gt;TRUE,"task not approved",IF(H22&lt;=0,"no net time saved",IF(J22&lt;=0,"missing labor rate",IF('03_EXECUTION_LOG'!J22="","missing evidence",""))))))</f>
        <v/>
      </c>
      <c r="N22" t="str">
        <f>IF(A22="","",IF(AND(L22=TRUE,'03_EXECUTION_LOG'!I22=FALSE),"high",IF(AND(L22=TRUE,'03_EXECUTION_LOG'!I22=TRUE),"medium","low")))</f>
        <v/>
      </c>
      <c r="O22" t="str">
        <f>IF(A22="","",IF(AND(L22=TRUE,'03_EXECUTION_LOG'!J22&lt;&gt;""),"yes","needs-review"))</f>
        <v/>
      </c>
    </row>
    <row r="23">
      <c r="A23" t="str">
        <f>IF('03_EXECUTION_LOG'!A23="","",'03_EXECUTION_LOG'!A23)</f>
        <v/>
      </c>
      <c r="B23" t="str">
        <f>IF('03_EXECUTION_LOG'!B23="","",LEFT('03_EXECUTION_LOG'!B23,7))</f>
        <v/>
      </c>
      <c r="C23" t="str">
        <f>IF('03_EXECUTION_LOG'!E23="","",'03_EXECUTION_LOG'!E23)</f>
        <v/>
      </c>
      <c r="D23" t="str">
        <f>IF(C23="","",INDEX('02_TASK_CATALOG'!E:E,MATCH(C23,'02_TASK_CATALOG'!A:A,0)))</f>
        <v/>
      </c>
      <c r="E23">
        <f>IF(C23="","",INDEX('02_TASK_CATALOG'!F:F,MATCH(C23,'02_TASK_CATALOG'!A:A,0)))</f>
        <v>0</v>
      </c>
      <c r="F23">
        <f>IF(C23="","",INDEX('02_TASK_CATALOG'!G:G,MATCH(C23,'02_TASK_CATALOG'!A:A,0)))</f>
        <v>0</v>
      </c>
      <c r="G23">
        <f>IF(C23="","",INDEX('02_TASK_CATALOG'!H:H,MATCH(C23,'02_TASK_CATALOG'!A:A,0)))</f>
        <v>0</v>
      </c>
      <c r="H23">
        <f>IF(A23="","",MAX(0,E23-F23-G23))</f>
        <v>0</v>
      </c>
      <c r="I23">
        <f>IF(A23="","",H23*IF('03_EXECUTION_LOG'!H23="",1,'03_EXECUTION_LOG'!H23)/60)</f>
        <v>0</v>
      </c>
      <c r="J23">
        <f>IF(D23="","",INDEX('01_ASSUMPTIONS'!C:C,MATCH(D23,'01_ASSUMPTIONS'!A:A,0)))</f>
        <v>0</v>
      </c>
      <c r="K23">
        <f>IF(OR(A23="",L23&lt;&gt;TRUE),0,I23*J23)</f>
        <v>0</v>
      </c>
      <c r="L23" t="b">
        <f>IF(A23="","",AND('03_EXECUTION_LOG'!F23="success",INDEX('02_TASK_CATALOG'!J:J,MATCH(C23,'02_TASK_CATALOG'!A:A,0))=TRUE,H23&gt;0,J23&gt;0,'03_EXECUTION_LOG'!J23&lt;&gt;""))</f>
        <v>0</v>
      </c>
      <c r="M23" t="str">
        <f>IF(A23="","",IF('03_EXECUTION_LOG'!F23&lt;&gt;"success","non-success status",IF(INDEX('02_TASK_CATALOG'!J:J,MATCH(C23,'02_TASK_CATALOG'!A:A,0))&lt;&gt;TRUE,"task not approved",IF(H23&lt;=0,"no net time saved",IF(J23&lt;=0,"missing labor rate",IF('03_EXECUTION_LOG'!J23="","missing evidence",""))))))</f>
        <v/>
      </c>
      <c r="N23" t="str">
        <f>IF(A23="","",IF(AND(L23=TRUE,'03_EXECUTION_LOG'!I23=FALSE),"high",IF(AND(L23=TRUE,'03_EXECUTION_LOG'!I23=TRUE),"medium","low")))</f>
        <v/>
      </c>
      <c r="O23" t="str">
        <f>IF(A23="","",IF(AND(L23=TRUE,'03_EXECUTION_LOG'!J23&lt;&gt;""),"yes","needs-review"))</f>
        <v/>
      </c>
    </row>
    <row r="24">
      <c r="A24" t="str">
        <f>IF('03_EXECUTION_LOG'!A24="","",'03_EXECUTION_LOG'!A24)</f>
        <v/>
      </c>
      <c r="B24" t="str">
        <f>IF('03_EXECUTION_LOG'!B24="","",LEFT('03_EXECUTION_LOG'!B24,7))</f>
        <v/>
      </c>
      <c r="C24" t="str">
        <f>IF('03_EXECUTION_LOG'!E24="","",'03_EXECUTION_LOG'!E24)</f>
        <v/>
      </c>
      <c r="D24" t="str">
        <f>IF(C24="","",INDEX('02_TASK_CATALOG'!E:E,MATCH(C24,'02_TASK_CATALOG'!A:A,0)))</f>
        <v/>
      </c>
      <c r="E24">
        <f>IF(C24="","",INDEX('02_TASK_CATALOG'!F:F,MATCH(C24,'02_TASK_CATALOG'!A:A,0)))</f>
        <v>0</v>
      </c>
      <c r="F24">
        <f>IF(C24="","",INDEX('02_TASK_CATALOG'!G:G,MATCH(C24,'02_TASK_CATALOG'!A:A,0)))</f>
        <v>0</v>
      </c>
      <c r="G24">
        <f>IF(C24="","",INDEX('02_TASK_CATALOG'!H:H,MATCH(C24,'02_TASK_CATALOG'!A:A,0)))</f>
        <v>0</v>
      </c>
      <c r="H24">
        <f>IF(A24="","",MAX(0,E24-F24-G24))</f>
        <v>0</v>
      </c>
      <c r="I24">
        <f>IF(A24="","",H24*IF('03_EXECUTION_LOG'!H24="",1,'03_EXECUTION_LOG'!H24)/60)</f>
        <v>0</v>
      </c>
      <c r="J24">
        <f>IF(D24="","",INDEX('01_ASSUMPTIONS'!C:C,MATCH(D24,'01_ASSUMPTIONS'!A:A,0)))</f>
        <v>0</v>
      </c>
      <c r="K24">
        <f>IF(OR(A24="",L24&lt;&gt;TRUE),0,I24*J24)</f>
        <v>0</v>
      </c>
      <c r="L24" t="b">
        <f>IF(A24="","",AND('03_EXECUTION_LOG'!F24="success",INDEX('02_TASK_CATALOG'!J:J,MATCH(C24,'02_TASK_CATALOG'!A:A,0))=TRUE,H24&gt;0,J24&gt;0,'03_EXECUTION_LOG'!J24&lt;&gt;""))</f>
        <v>0</v>
      </c>
      <c r="M24" t="str">
        <f>IF(A24="","",IF('03_EXECUTION_LOG'!F24&lt;&gt;"success","non-success status",IF(INDEX('02_TASK_CATALOG'!J:J,MATCH(C24,'02_TASK_CATALOG'!A:A,0))&lt;&gt;TRUE,"task not approved",IF(H24&lt;=0,"no net time saved",IF(J24&lt;=0,"missing labor rate",IF('03_EXECUTION_LOG'!J24="","missing evidence",""))))))</f>
        <v/>
      </c>
      <c r="N24" t="str">
        <f>IF(A24="","",IF(AND(L24=TRUE,'03_EXECUTION_LOG'!I24=FALSE),"high",IF(AND(L24=TRUE,'03_EXECUTION_LOG'!I24=TRUE),"medium","low")))</f>
        <v/>
      </c>
      <c r="O24" t="str">
        <f>IF(A24="","",IF(AND(L24=TRUE,'03_EXECUTION_LOG'!J24&lt;&gt;""),"yes","needs-review"))</f>
        <v/>
      </c>
    </row>
    <row r="25">
      <c r="A25" t="str">
        <f>IF('03_EXECUTION_LOG'!A25="","",'03_EXECUTION_LOG'!A25)</f>
        <v/>
      </c>
      <c r="B25" t="str">
        <f>IF('03_EXECUTION_LOG'!B25="","",LEFT('03_EXECUTION_LOG'!B25,7))</f>
        <v/>
      </c>
      <c r="C25" t="str">
        <f>IF('03_EXECUTION_LOG'!E25="","",'03_EXECUTION_LOG'!E25)</f>
        <v/>
      </c>
      <c r="D25" t="str">
        <f>IF(C25="","",INDEX('02_TASK_CATALOG'!E:E,MATCH(C25,'02_TASK_CATALOG'!A:A,0)))</f>
        <v/>
      </c>
      <c r="E25">
        <f>IF(C25="","",INDEX('02_TASK_CATALOG'!F:F,MATCH(C25,'02_TASK_CATALOG'!A:A,0)))</f>
        <v>0</v>
      </c>
      <c r="F25">
        <f>IF(C25="","",INDEX('02_TASK_CATALOG'!G:G,MATCH(C25,'02_TASK_CATALOG'!A:A,0)))</f>
        <v>0</v>
      </c>
      <c r="G25">
        <f>IF(C25="","",INDEX('02_TASK_CATALOG'!H:H,MATCH(C25,'02_TASK_CATALOG'!A:A,0)))</f>
        <v>0</v>
      </c>
      <c r="H25">
        <f>IF(A25="","",MAX(0,E25-F25-G25))</f>
        <v>0</v>
      </c>
      <c r="I25">
        <f>IF(A25="","",H25*IF('03_EXECUTION_LOG'!H25="",1,'03_EXECUTION_LOG'!H25)/60)</f>
        <v>0</v>
      </c>
      <c r="J25">
        <f>IF(D25="","",INDEX('01_ASSUMPTIONS'!C:C,MATCH(D25,'01_ASSUMPTIONS'!A:A,0)))</f>
        <v>0</v>
      </c>
      <c r="K25">
        <f>IF(OR(A25="",L25&lt;&gt;TRUE),0,I25*J25)</f>
        <v>0</v>
      </c>
      <c r="L25" t="b">
        <f>IF(A25="","",AND('03_EXECUTION_LOG'!F25="success",INDEX('02_TASK_CATALOG'!J:J,MATCH(C25,'02_TASK_CATALOG'!A:A,0))=TRUE,H25&gt;0,J25&gt;0,'03_EXECUTION_LOG'!J25&lt;&gt;""))</f>
        <v>0</v>
      </c>
      <c r="M25" t="str">
        <f>IF(A25="","",IF('03_EXECUTION_LOG'!F25&lt;&gt;"success","non-success status",IF(INDEX('02_TASK_CATALOG'!J:J,MATCH(C25,'02_TASK_CATALOG'!A:A,0))&lt;&gt;TRUE,"task not approved",IF(H25&lt;=0,"no net time saved",IF(J25&lt;=0,"missing labor rate",IF('03_EXECUTION_LOG'!J25="","missing evidence",""))))))</f>
        <v/>
      </c>
      <c r="N25" t="str">
        <f>IF(A25="","",IF(AND(L25=TRUE,'03_EXECUTION_LOG'!I25=FALSE),"high",IF(AND(L25=TRUE,'03_EXECUTION_LOG'!I25=TRUE),"medium","low")))</f>
        <v/>
      </c>
      <c r="O25" t="str">
        <f>IF(A25="","",IF(AND(L25=TRUE,'03_EXECUTION_LOG'!J25&lt;&gt;""),"yes","needs-review"))</f>
        <v/>
      </c>
    </row>
    <row r="26">
      <c r="A26" t="str">
        <f>IF('03_EXECUTION_LOG'!A26="","",'03_EXECUTION_LOG'!A26)</f>
        <v/>
      </c>
      <c r="B26" t="str">
        <f>IF('03_EXECUTION_LOG'!B26="","",LEFT('03_EXECUTION_LOG'!B26,7))</f>
        <v/>
      </c>
      <c r="C26" t="str">
        <f>IF('03_EXECUTION_LOG'!E26="","",'03_EXECUTION_LOG'!E26)</f>
        <v/>
      </c>
      <c r="D26" t="str">
        <f>IF(C26="","",INDEX('02_TASK_CATALOG'!E:E,MATCH(C26,'02_TASK_CATALOG'!A:A,0)))</f>
        <v/>
      </c>
      <c r="E26">
        <f>IF(C26="","",INDEX('02_TASK_CATALOG'!F:F,MATCH(C26,'02_TASK_CATALOG'!A:A,0)))</f>
        <v>0</v>
      </c>
      <c r="F26">
        <f>IF(C26="","",INDEX('02_TASK_CATALOG'!G:G,MATCH(C26,'02_TASK_CATALOG'!A:A,0)))</f>
        <v>0</v>
      </c>
      <c r="G26">
        <f>IF(C26="","",INDEX('02_TASK_CATALOG'!H:H,MATCH(C26,'02_TASK_CATALOG'!A:A,0)))</f>
        <v>0</v>
      </c>
      <c r="H26">
        <f>IF(A26="","",MAX(0,E26-F26-G26))</f>
        <v>0</v>
      </c>
      <c r="I26">
        <f>IF(A26="","",H26*IF('03_EXECUTION_LOG'!H26="",1,'03_EXECUTION_LOG'!H26)/60)</f>
        <v>0</v>
      </c>
      <c r="J26">
        <f>IF(D26="","",INDEX('01_ASSUMPTIONS'!C:C,MATCH(D26,'01_ASSUMPTIONS'!A:A,0)))</f>
        <v>0</v>
      </c>
      <c r="K26">
        <f>IF(OR(A26="",L26&lt;&gt;TRUE),0,I26*J26)</f>
        <v>0</v>
      </c>
      <c r="L26" t="b">
        <f>IF(A26="","",AND('03_EXECUTION_LOG'!F26="success",INDEX('02_TASK_CATALOG'!J:J,MATCH(C26,'02_TASK_CATALOG'!A:A,0))=TRUE,H26&gt;0,J26&gt;0,'03_EXECUTION_LOG'!J26&lt;&gt;""))</f>
        <v>0</v>
      </c>
      <c r="M26" t="str">
        <f>IF(A26="","",IF('03_EXECUTION_LOG'!F26&lt;&gt;"success","non-success status",IF(INDEX('02_TASK_CATALOG'!J:J,MATCH(C26,'02_TASK_CATALOG'!A:A,0))&lt;&gt;TRUE,"task not approved",IF(H26&lt;=0,"no net time saved",IF(J26&lt;=0,"missing labor rate",IF('03_EXECUTION_LOG'!J26="","missing evidence",""))))))</f>
        <v/>
      </c>
      <c r="N26" t="str">
        <f>IF(A26="","",IF(AND(L26=TRUE,'03_EXECUTION_LOG'!I26=FALSE),"high",IF(AND(L26=TRUE,'03_EXECUTION_LOG'!I26=TRUE),"medium","low")))</f>
        <v/>
      </c>
      <c r="O26" t="str">
        <f>IF(A26="","",IF(AND(L26=TRUE,'03_EXECUTION_LOG'!J26&lt;&gt;""),"yes","needs-review"))</f>
        <v/>
      </c>
    </row>
    <row r="27">
      <c r="A27" t="str">
        <f>IF('03_EXECUTION_LOG'!A27="","",'03_EXECUTION_LOG'!A27)</f>
        <v/>
      </c>
      <c r="B27" t="str">
        <f>IF('03_EXECUTION_LOG'!B27="","",LEFT('03_EXECUTION_LOG'!B27,7))</f>
        <v/>
      </c>
      <c r="C27" t="str">
        <f>IF('03_EXECUTION_LOG'!E27="","",'03_EXECUTION_LOG'!E27)</f>
        <v/>
      </c>
      <c r="D27" t="str">
        <f>IF(C27="","",INDEX('02_TASK_CATALOG'!E:E,MATCH(C27,'02_TASK_CATALOG'!A:A,0)))</f>
        <v/>
      </c>
      <c r="E27">
        <f>IF(C27="","",INDEX('02_TASK_CATALOG'!F:F,MATCH(C27,'02_TASK_CATALOG'!A:A,0)))</f>
        <v>0</v>
      </c>
      <c r="F27">
        <f>IF(C27="","",INDEX('02_TASK_CATALOG'!G:G,MATCH(C27,'02_TASK_CATALOG'!A:A,0)))</f>
        <v>0</v>
      </c>
      <c r="G27">
        <f>IF(C27="","",INDEX('02_TASK_CATALOG'!H:H,MATCH(C27,'02_TASK_CATALOG'!A:A,0)))</f>
        <v>0</v>
      </c>
      <c r="H27">
        <f>IF(A27="","",MAX(0,E27-F27-G27))</f>
        <v>0</v>
      </c>
      <c r="I27">
        <f>IF(A27="","",H27*IF('03_EXECUTION_LOG'!H27="",1,'03_EXECUTION_LOG'!H27)/60)</f>
        <v>0</v>
      </c>
      <c r="J27">
        <f>IF(D27="","",INDEX('01_ASSUMPTIONS'!C:C,MATCH(D27,'01_ASSUMPTIONS'!A:A,0)))</f>
        <v>0</v>
      </c>
      <c r="K27">
        <f>IF(OR(A27="",L27&lt;&gt;TRUE),0,I27*J27)</f>
        <v>0</v>
      </c>
      <c r="L27" t="b">
        <f>IF(A27="","",AND('03_EXECUTION_LOG'!F27="success",INDEX('02_TASK_CATALOG'!J:J,MATCH(C27,'02_TASK_CATALOG'!A:A,0))=TRUE,H27&gt;0,J27&gt;0,'03_EXECUTION_LOG'!J27&lt;&gt;""))</f>
        <v>0</v>
      </c>
      <c r="M27" t="str">
        <f>IF(A27="","",IF('03_EXECUTION_LOG'!F27&lt;&gt;"success","non-success status",IF(INDEX('02_TASK_CATALOG'!J:J,MATCH(C27,'02_TASK_CATALOG'!A:A,0))&lt;&gt;TRUE,"task not approved",IF(H27&lt;=0,"no net time saved",IF(J27&lt;=0,"missing labor rate",IF('03_EXECUTION_LOG'!J27="","missing evidence",""))))))</f>
        <v/>
      </c>
      <c r="N27" t="str">
        <f>IF(A27="","",IF(AND(L27=TRUE,'03_EXECUTION_LOG'!I27=FALSE),"high",IF(AND(L27=TRUE,'03_EXECUTION_LOG'!I27=TRUE),"medium","low")))</f>
        <v/>
      </c>
      <c r="O27" t="str">
        <f>IF(A27="","",IF(AND(L27=TRUE,'03_EXECUTION_LOG'!J27&lt;&gt;""),"yes","needs-review"))</f>
        <v/>
      </c>
    </row>
    <row r="28">
      <c r="A28" t="str">
        <f>IF('03_EXECUTION_LOG'!A28="","",'03_EXECUTION_LOG'!A28)</f>
        <v/>
      </c>
      <c r="B28" t="str">
        <f>IF('03_EXECUTION_LOG'!B28="","",LEFT('03_EXECUTION_LOG'!B28,7))</f>
        <v/>
      </c>
      <c r="C28" t="str">
        <f>IF('03_EXECUTION_LOG'!E28="","",'03_EXECUTION_LOG'!E28)</f>
        <v/>
      </c>
      <c r="D28" t="str">
        <f>IF(C28="","",INDEX('02_TASK_CATALOG'!E:E,MATCH(C28,'02_TASK_CATALOG'!A:A,0)))</f>
        <v/>
      </c>
      <c r="E28">
        <f>IF(C28="","",INDEX('02_TASK_CATALOG'!F:F,MATCH(C28,'02_TASK_CATALOG'!A:A,0)))</f>
        <v>0</v>
      </c>
      <c r="F28">
        <f>IF(C28="","",INDEX('02_TASK_CATALOG'!G:G,MATCH(C28,'02_TASK_CATALOG'!A:A,0)))</f>
        <v>0</v>
      </c>
      <c r="G28">
        <f>IF(C28="","",INDEX('02_TASK_CATALOG'!H:H,MATCH(C28,'02_TASK_CATALOG'!A:A,0)))</f>
        <v>0</v>
      </c>
      <c r="H28">
        <f>IF(A28="","",MAX(0,E28-F28-G28))</f>
        <v>0</v>
      </c>
      <c r="I28">
        <f>IF(A28="","",H28*IF('03_EXECUTION_LOG'!H28="",1,'03_EXECUTION_LOG'!H28)/60)</f>
        <v>0</v>
      </c>
      <c r="J28">
        <f>IF(D28="","",INDEX('01_ASSUMPTIONS'!C:C,MATCH(D28,'01_ASSUMPTIONS'!A:A,0)))</f>
        <v>0</v>
      </c>
      <c r="K28">
        <f>IF(OR(A28="",L28&lt;&gt;TRUE),0,I28*J28)</f>
        <v>0</v>
      </c>
      <c r="L28" t="b">
        <f>IF(A28="","",AND('03_EXECUTION_LOG'!F28="success",INDEX('02_TASK_CATALOG'!J:J,MATCH(C28,'02_TASK_CATALOG'!A:A,0))=TRUE,H28&gt;0,J28&gt;0,'03_EXECUTION_LOG'!J28&lt;&gt;""))</f>
        <v>0</v>
      </c>
      <c r="M28" t="str">
        <f>IF(A28="","",IF('03_EXECUTION_LOG'!F28&lt;&gt;"success","non-success status",IF(INDEX('02_TASK_CATALOG'!J:J,MATCH(C28,'02_TASK_CATALOG'!A:A,0))&lt;&gt;TRUE,"task not approved",IF(H28&lt;=0,"no net time saved",IF(J28&lt;=0,"missing labor rate",IF('03_EXECUTION_LOG'!J28="","missing evidence",""))))))</f>
        <v/>
      </c>
      <c r="N28" t="str">
        <f>IF(A28="","",IF(AND(L28=TRUE,'03_EXECUTION_LOG'!I28=FALSE),"high",IF(AND(L28=TRUE,'03_EXECUTION_LOG'!I28=TRUE),"medium","low")))</f>
        <v/>
      </c>
      <c r="O28" t="str">
        <f>IF(A28="","",IF(AND(L28=TRUE,'03_EXECUTION_LOG'!J28&lt;&gt;""),"yes","needs-review"))</f>
        <v/>
      </c>
    </row>
    <row r="29">
      <c r="A29" t="str">
        <f>IF('03_EXECUTION_LOG'!A29="","",'03_EXECUTION_LOG'!A29)</f>
        <v/>
      </c>
      <c r="B29" t="str">
        <f>IF('03_EXECUTION_LOG'!B29="","",LEFT('03_EXECUTION_LOG'!B29,7))</f>
        <v/>
      </c>
      <c r="C29" t="str">
        <f>IF('03_EXECUTION_LOG'!E29="","",'03_EXECUTION_LOG'!E29)</f>
        <v/>
      </c>
      <c r="D29" t="str">
        <f>IF(C29="","",INDEX('02_TASK_CATALOG'!E:E,MATCH(C29,'02_TASK_CATALOG'!A:A,0)))</f>
        <v/>
      </c>
      <c r="E29">
        <f>IF(C29="","",INDEX('02_TASK_CATALOG'!F:F,MATCH(C29,'02_TASK_CATALOG'!A:A,0)))</f>
        <v>0</v>
      </c>
      <c r="F29">
        <f>IF(C29="","",INDEX('02_TASK_CATALOG'!G:G,MATCH(C29,'02_TASK_CATALOG'!A:A,0)))</f>
        <v>0</v>
      </c>
      <c r="G29">
        <f>IF(C29="","",INDEX('02_TASK_CATALOG'!H:H,MATCH(C29,'02_TASK_CATALOG'!A:A,0)))</f>
        <v>0</v>
      </c>
      <c r="H29">
        <f>IF(A29="","",MAX(0,E29-F29-G29))</f>
        <v>0</v>
      </c>
      <c r="I29">
        <f>IF(A29="","",H29*IF('03_EXECUTION_LOG'!H29="",1,'03_EXECUTION_LOG'!H29)/60)</f>
        <v>0</v>
      </c>
      <c r="J29">
        <f>IF(D29="","",INDEX('01_ASSUMPTIONS'!C:C,MATCH(D29,'01_ASSUMPTIONS'!A:A,0)))</f>
        <v>0</v>
      </c>
      <c r="K29">
        <f>IF(OR(A29="",L29&lt;&gt;TRUE),0,I29*J29)</f>
        <v>0</v>
      </c>
      <c r="L29" t="b">
        <f>IF(A29="","",AND('03_EXECUTION_LOG'!F29="success",INDEX('02_TASK_CATALOG'!J:J,MATCH(C29,'02_TASK_CATALOG'!A:A,0))=TRUE,H29&gt;0,J29&gt;0,'03_EXECUTION_LOG'!J29&lt;&gt;""))</f>
        <v>0</v>
      </c>
      <c r="M29" t="str">
        <f>IF(A29="","",IF('03_EXECUTION_LOG'!F29&lt;&gt;"success","non-success status",IF(INDEX('02_TASK_CATALOG'!J:J,MATCH(C29,'02_TASK_CATALOG'!A:A,0))&lt;&gt;TRUE,"task not approved",IF(H29&lt;=0,"no net time saved",IF(J29&lt;=0,"missing labor rate",IF('03_EXECUTION_LOG'!J29="","missing evidence",""))))))</f>
        <v/>
      </c>
      <c r="N29" t="str">
        <f>IF(A29="","",IF(AND(L29=TRUE,'03_EXECUTION_LOG'!I29=FALSE),"high",IF(AND(L29=TRUE,'03_EXECUTION_LOG'!I29=TRUE),"medium","low")))</f>
        <v/>
      </c>
      <c r="O29" t="str">
        <f>IF(A29="","",IF(AND(L29=TRUE,'03_EXECUTION_LOG'!J29&lt;&gt;""),"yes","needs-review"))</f>
        <v/>
      </c>
    </row>
    <row r="30">
      <c r="A30" t="str">
        <f>IF('03_EXECUTION_LOG'!A30="","",'03_EXECUTION_LOG'!A30)</f>
        <v/>
      </c>
      <c r="B30" t="str">
        <f>IF('03_EXECUTION_LOG'!B30="","",LEFT('03_EXECUTION_LOG'!B30,7))</f>
        <v/>
      </c>
      <c r="C30" t="str">
        <f>IF('03_EXECUTION_LOG'!E30="","",'03_EXECUTION_LOG'!E30)</f>
        <v/>
      </c>
      <c r="D30" t="str">
        <f>IF(C30="","",INDEX('02_TASK_CATALOG'!E:E,MATCH(C30,'02_TASK_CATALOG'!A:A,0)))</f>
        <v/>
      </c>
      <c r="E30">
        <f>IF(C30="","",INDEX('02_TASK_CATALOG'!F:F,MATCH(C30,'02_TASK_CATALOG'!A:A,0)))</f>
        <v>0</v>
      </c>
      <c r="F30">
        <f>IF(C30="","",INDEX('02_TASK_CATALOG'!G:G,MATCH(C30,'02_TASK_CATALOG'!A:A,0)))</f>
        <v>0</v>
      </c>
      <c r="G30">
        <f>IF(C30="","",INDEX('02_TASK_CATALOG'!H:H,MATCH(C30,'02_TASK_CATALOG'!A:A,0)))</f>
        <v>0</v>
      </c>
      <c r="H30">
        <f>IF(A30="","",MAX(0,E30-F30-G30))</f>
        <v>0</v>
      </c>
      <c r="I30">
        <f>IF(A30="","",H30*IF('03_EXECUTION_LOG'!H30="",1,'03_EXECUTION_LOG'!H30)/60)</f>
        <v>0</v>
      </c>
      <c r="J30">
        <f>IF(D30="","",INDEX('01_ASSUMPTIONS'!C:C,MATCH(D30,'01_ASSUMPTIONS'!A:A,0)))</f>
        <v>0</v>
      </c>
      <c r="K30">
        <f>IF(OR(A30="",L30&lt;&gt;TRUE),0,I30*J30)</f>
        <v>0</v>
      </c>
      <c r="L30" t="b">
        <f>IF(A30="","",AND('03_EXECUTION_LOG'!F30="success",INDEX('02_TASK_CATALOG'!J:J,MATCH(C30,'02_TASK_CATALOG'!A:A,0))=TRUE,H30&gt;0,J30&gt;0,'03_EXECUTION_LOG'!J30&lt;&gt;""))</f>
        <v>0</v>
      </c>
      <c r="M30" t="str">
        <f>IF(A30="","",IF('03_EXECUTION_LOG'!F30&lt;&gt;"success","non-success status",IF(INDEX('02_TASK_CATALOG'!J:J,MATCH(C30,'02_TASK_CATALOG'!A:A,0))&lt;&gt;TRUE,"task not approved",IF(H30&lt;=0,"no net time saved",IF(J30&lt;=0,"missing labor rate",IF('03_EXECUTION_LOG'!J30="","missing evidence",""))))))</f>
        <v/>
      </c>
      <c r="N30" t="str">
        <f>IF(A30="","",IF(AND(L30=TRUE,'03_EXECUTION_LOG'!I30=FALSE),"high",IF(AND(L30=TRUE,'03_EXECUTION_LOG'!I30=TRUE),"medium","low")))</f>
        <v/>
      </c>
      <c r="O30" t="str">
        <f>IF(A30="","",IF(AND(L30=TRUE,'03_EXECUTION_LOG'!J30&lt;&gt;""),"yes","needs-review"))</f>
        <v/>
      </c>
    </row>
    <row r="31">
      <c r="A31" t="str">
        <f>IF('03_EXECUTION_LOG'!A31="","",'03_EXECUTION_LOG'!A31)</f>
        <v/>
      </c>
      <c r="B31" t="str">
        <f>IF('03_EXECUTION_LOG'!B31="","",LEFT('03_EXECUTION_LOG'!B31,7))</f>
        <v/>
      </c>
      <c r="C31" t="str">
        <f>IF('03_EXECUTION_LOG'!E31="","",'03_EXECUTION_LOG'!E31)</f>
        <v/>
      </c>
      <c r="D31" t="str">
        <f>IF(C31="","",INDEX('02_TASK_CATALOG'!E:E,MATCH(C31,'02_TASK_CATALOG'!A:A,0)))</f>
        <v/>
      </c>
      <c r="E31">
        <f>IF(C31="","",INDEX('02_TASK_CATALOG'!F:F,MATCH(C31,'02_TASK_CATALOG'!A:A,0)))</f>
        <v>0</v>
      </c>
      <c r="F31">
        <f>IF(C31="","",INDEX('02_TASK_CATALOG'!G:G,MATCH(C31,'02_TASK_CATALOG'!A:A,0)))</f>
        <v>0</v>
      </c>
      <c r="G31">
        <f>IF(C31="","",INDEX('02_TASK_CATALOG'!H:H,MATCH(C31,'02_TASK_CATALOG'!A:A,0)))</f>
        <v>0</v>
      </c>
      <c r="H31">
        <f>IF(A31="","",MAX(0,E31-F31-G31))</f>
        <v>0</v>
      </c>
      <c r="I31">
        <f>IF(A31="","",H31*IF('03_EXECUTION_LOG'!H31="",1,'03_EXECUTION_LOG'!H31)/60)</f>
        <v>0</v>
      </c>
      <c r="J31">
        <f>IF(D31="","",INDEX('01_ASSUMPTIONS'!C:C,MATCH(D31,'01_ASSUMPTIONS'!A:A,0)))</f>
        <v>0</v>
      </c>
      <c r="K31">
        <f>IF(OR(A31="",L31&lt;&gt;TRUE),0,I31*J31)</f>
        <v>0</v>
      </c>
      <c r="L31" t="b">
        <f>IF(A31="","",AND('03_EXECUTION_LOG'!F31="success",INDEX('02_TASK_CATALOG'!J:J,MATCH(C31,'02_TASK_CATALOG'!A:A,0))=TRUE,H31&gt;0,J31&gt;0,'03_EXECUTION_LOG'!J31&lt;&gt;""))</f>
        <v>0</v>
      </c>
      <c r="M31" t="str">
        <f>IF(A31="","",IF('03_EXECUTION_LOG'!F31&lt;&gt;"success","non-success status",IF(INDEX('02_TASK_CATALOG'!J:J,MATCH(C31,'02_TASK_CATALOG'!A:A,0))&lt;&gt;TRUE,"task not approved",IF(H31&lt;=0,"no net time saved",IF(J31&lt;=0,"missing labor rate",IF('03_EXECUTION_LOG'!J31="","missing evidence",""))))))</f>
        <v/>
      </c>
      <c r="N31" t="str">
        <f>IF(A31="","",IF(AND(L31=TRUE,'03_EXECUTION_LOG'!I31=FALSE),"high",IF(AND(L31=TRUE,'03_EXECUTION_LOG'!I31=TRUE),"medium","low")))</f>
        <v/>
      </c>
      <c r="O31" t="str">
        <f>IF(A31="","",IF(AND(L31=TRUE,'03_EXECUTION_LOG'!J31&lt;&gt;""),"yes","needs-review"))</f>
        <v/>
      </c>
    </row>
    <row r="32">
      <c r="A32" t="str">
        <f>IF('03_EXECUTION_LOG'!A32="","",'03_EXECUTION_LOG'!A32)</f>
        <v/>
      </c>
      <c r="B32" t="str">
        <f>IF('03_EXECUTION_LOG'!B32="","",LEFT('03_EXECUTION_LOG'!B32,7))</f>
        <v/>
      </c>
      <c r="C32" t="str">
        <f>IF('03_EXECUTION_LOG'!E32="","",'03_EXECUTION_LOG'!E32)</f>
        <v/>
      </c>
      <c r="D32" t="str">
        <f>IF(C32="","",INDEX('02_TASK_CATALOG'!E:E,MATCH(C32,'02_TASK_CATALOG'!A:A,0)))</f>
        <v/>
      </c>
      <c r="E32">
        <f>IF(C32="","",INDEX('02_TASK_CATALOG'!F:F,MATCH(C32,'02_TASK_CATALOG'!A:A,0)))</f>
        <v>0</v>
      </c>
      <c r="F32">
        <f>IF(C32="","",INDEX('02_TASK_CATALOG'!G:G,MATCH(C32,'02_TASK_CATALOG'!A:A,0)))</f>
        <v>0</v>
      </c>
      <c r="G32">
        <f>IF(C32="","",INDEX('02_TASK_CATALOG'!H:H,MATCH(C32,'02_TASK_CATALOG'!A:A,0)))</f>
        <v>0</v>
      </c>
      <c r="H32">
        <f>IF(A32="","",MAX(0,E32-F32-G32))</f>
        <v>0</v>
      </c>
      <c r="I32">
        <f>IF(A32="","",H32*IF('03_EXECUTION_LOG'!H32="",1,'03_EXECUTION_LOG'!H32)/60)</f>
        <v>0</v>
      </c>
      <c r="J32">
        <f>IF(D32="","",INDEX('01_ASSUMPTIONS'!C:C,MATCH(D32,'01_ASSUMPTIONS'!A:A,0)))</f>
        <v>0</v>
      </c>
      <c r="K32">
        <f>IF(OR(A32="",L32&lt;&gt;TRUE),0,I32*J32)</f>
        <v>0</v>
      </c>
      <c r="L32" t="b">
        <f>IF(A32="","",AND('03_EXECUTION_LOG'!F32="success",INDEX('02_TASK_CATALOG'!J:J,MATCH(C32,'02_TASK_CATALOG'!A:A,0))=TRUE,H32&gt;0,J32&gt;0,'03_EXECUTION_LOG'!J32&lt;&gt;""))</f>
        <v>0</v>
      </c>
      <c r="M32" t="str">
        <f>IF(A32="","",IF('03_EXECUTION_LOG'!F32&lt;&gt;"success","non-success status",IF(INDEX('02_TASK_CATALOG'!J:J,MATCH(C32,'02_TASK_CATALOG'!A:A,0))&lt;&gt;TRUE,"task not approved",IF(H32&lt;=0,"no net time saved",IF(J32&lt;=0,"missing labor rate",IF('03_EXECUTION_LOG'!J32="","missing evidence",""))))))</f>
        <v/>
      </c>
      <c r="N32" t="str">
        <f>IF(A32="","",IF(AND(L32=TRUE,'03_EXECUTION_LOG'!I32=FALSE),"high",IF(AND(L32=TRUE,'03_EXECUTION_LOG'!I32=TRUE),"medium","low")))</f>
        <v/>
      </c>
      <c r="O32" t="str">
        <f>IF(A32="","",IF(AND(L32=TRUE,'03_EXECUTION_LOG'!J32&lt;&gt;""),"yes","needs-review"))</f>
        <v/>
      </c>
    </row>
    <row r="33">
      <c r="A33" t="str">
        <f>IF('03_EXECUTION_LOG'!A33="","",'03_EXECUTION_LOG'!A33)</f>
        <v/>
      </c>
      <c r="B33" t="str">
        <f>IF('03_EXECUTION_LOG'!B33="","",LEFT('03_EXECUTION_LOG'!B33,7))</f>
        <v/>
      </c>
      <c r="C33" t="str">
        <f>IF('03_EXECUTION_LOG'!E33="","",'03_EXECUTION_LOG'!E33)</f>
        <v/>
      </c>
      <c r="D33" t="str">
        <f>IF(C33="","",INDEX('02_TASK_CATALOG'!E:E,MATCH(C33,'02_TASK_CATALOG'!A:A,0)))</f>
        <v/>
      </c>
      <c r="E33">
        <f>IF(C33="","",INDEX('02_TASK_CATALOG'!F:F,MATCH(C33,'02_TASK_CATALOG'!A:A,0)))</f>
        <v>0</v>
      </c>
      <c r="F33">
        <f>IF(C33="","",INDEX('02_TASK_CATALOG'!G:G,MATCH(C33,'02_TASK_CATALOG'!A:A,0)))</f>
        <v>0</v>
      </c>
      <c r="G33">
        <f>IF(C33="","",INDEX('02_TASK_CATALOG'!H:H,MATCH(C33,'02_TASK_CATALOG'!A:A,0)))</f>
        <v>0</v>
      </c>
      <c r="H33">
        <f>IF(A33="","",MAX(0,E33-F33-G33))</f>
        <v>0</v>
      </c>
      <c r="I33">
        <f>IF(A33="","",H33*IF('03_EXECUTION_LOG'!H33="",1,'03_EXECUTION_LOG'!H33)/60)</f>
        <v>0</v>
      </c>
      <c r="J33">
        <f>IF(D33="","",INDEX('01_ASSUMPTIONS'!C:C,MATCH(D33,'01_ASSUMPTIONS'!A:A,0)))</f>
        <v>0</v>
      </c>
      <c r="K33">
        <f>IF(OR(A33="",L33&lt;&gt;TRUE),0,I33*J33)</f>
        <v>0</v>
      </c>
      <c r="L33" t="b">
        <f>IF(A33="","",AND('03_EXECUTION_LOG'!F33="success",INDEX('02_TASK_CATALOG'!J:J,MATCH(C33,'02_TASK_CATALOG'!A:A,0))=TRUE,H33&gt;0,J33&gt;0,'03_EXECUTION_LOG'!J33&lt;&gt;""))</f>
        <v>0</v>
      </c>
      <c r="M33" t="str">
        <f>IF(A33="","",IF('03_EXECUTION_LOG'!F33&lt;&gt;"success","non-success status",IF(INDEX('02_TASK_CATALOG'!J:J,MATCH(C33,'02_TASK_CATALOG'!A:A,0))&lt;&gt;TRUE,"task not approved",IF(H33&lt;=0,"no net time saved",IF(J33&lt;=0,"missing labor rate",IF('03_EXECUTION_LOG'!J33="","missing evidence",""))))))</f>
        <v/>
      </c>
      <c r="N33" t="str">
        <f>IF(A33="","",IF(AND(L33=TRUE,'03_EXECUTION_LOG'!I33=FALSE),"high",IF(AND(L33=TRUE,'03_EXECUTION_LOG'!I33=TRUE),"medium","low")))</f>
        <v/>
      </c>
      <c r="O33" t="str">
        <f>IF(A33="","",IF(AND(L33=TRUE,'03_EXECUTION_LOG'!J33&lt;&gt;""),"yes","needs-review"))</f>
        <v/>
      </c>
    </row>
    <row r="34">
      <c r="A34" t="str">
        <f>IF('03_EXECUTION_LOG'!A34="","",'03_EXECUTION_LOG'!A34)</f>
        <v/>
      </c>
      <c r="B34" t="str">
        <f>IF('03_EXECUTION_LOG'!B34="","",LEFT('03_EXECUTION_LOG'!B34,7))</f>
        <v/>
      </c>
      <c r="C34" t="str">
        <f>IF('03_EXECUTION_LOG'!E34="","",'03_EXECUTION_LOG'!E34)</f>
        <v/>
      </c>
      <c r="D34" t="str">
        <f>IF(C34="","",INDEX('02_TASK_CATALOG'!E:E,MATCH(C34,'02_TASK_CATALOG'!A:A,0)))</f>
        <v/>
      </c>
      <c r="E34">
        <f>IF(C34="","",INDEX('02_TASK_CATALOG'!F:F,MATCH(C34,'02_TASK_CATALOG'!A:A,0)))</f>
        <v>0</v>
      </c>
      <c r="F34">
        <f>IF(C34="","",INDEX('02_TASK_CATALOG'!G:G,MATCH(C34,'02_TASK_CATALOG'!A:A,0)))</f>
        <v>0</v>
      </c>
      <c r="G34">
        <f>IF(C34="","",INDEX('02_TASK_CATALOG'!H:H,MATCH(C34,'02_TASK_CATALOG'!A:A,0)))</f>
        <v>0</v>
      </c>
      <c r="H34">
        <f>IF(A34="","",MAX(0,E34-F34-G34))</f>
        <v>0</v>
      </c>
      <c r="I34">
        <f>IF(A34="","",H34*IF('03_EXECUTION_LOG'!H34="",1,'03_EXECUTION_LOG'!H34)/60)</f>
        <v>0</v>
      </c>
      <c r="J34">
        <f>IF(D34="","",INDEX('01_ASSUMPTIONS'!C:C,MATCH(D34,'01_ASSUMPTIONS'!A:A,0)))</f>
        <v>0</v>
      </c>
      <c r="K34">
        <f>IF(OR(A34="",L34&lt;&gt;TRUE),0,I34*J34)</f>
        <v>0</v>
      </c>
      <c r="L34" t="b">
        <f>IF(A34="","",AND('03_EXECUTION_LOG'!F34="success",INDEX('02_TASK_CATALOG'!J:J,MATCH(C34,'02_TASK_CATALOG'!A:A,0))=TRUE,H34&gt;0,J34&gt;0,'03_EXECUTION_LOG'!J34&lt;&gt;""))</f>
        <v>0</v>
      </c>
      <c r="M34" t="str">
        <f>IF(A34="","",IF('03_EXECUTION_LOG'!F34&lt;&gt;"success","non-success status",IF(INDEX('02_TASK_CATALOG'!J:J,MATCH(C34,'02_TASK_CATALOG'!A:A,0))&lt;&gt;TRUE,"task not approved",IF(H34&lt;=0,"no net time saved",IF(J34&lt;=0,"missing labor rate",IF('03_EXECUTION_LOG'!J34="","missing evidence",""))))))</f>
        <v/>
      </c>
      <c r="N34" t="str">
        <f>IF(A34="","",IF(AND(L34=TRUE,'03_EXECUTION_LOG'!I34=FALSE),"high",IF(AND(L34=TRUE,'03_EXECUTION_LOG'!I34=TRUE),"medium","low")))</f>
        <v/>
      </c>
      <c r="O34" t="str">
        <f>IF(A34="","",IF(AND(L34=TRUE,'03_EXECUTION_LOG'!J34&lt;&gt;""),"yes","needs-review"))</f>
        <v/>
      </c>
    </row>
    <row r="35">
      <c r="A35" t="str">
        <f>IF('03_EXECUTION_LOG'!A35="","",'03_EXECUTION_LOG'!A35)</f>
        <v/>
      </c>
      <c r="B35" t="str">
        <f>IF('03_EXECUTION_LOG'!B35="","",LEFT('03_EXECUTION_LOG'!B35,7))</f>
        <v/>
      </c>
      <c r="C35" t="str">
        <f>IF('03_EXECUTION_LOG'!E35="","",'03_EXECUTION_LOG'!E35)</f>
        <v/>
      </c>
      <c r="D35" t="str">
        <f>IF(C35="","",INDEX('02_TASK_CATALOG'!E:E,MATCH(C35,'02_TASK_CATALOG'!A:A,0)))</f>
        <v/>
      </c>
      <c r="E35">
        <f>IF(C35="","",INDEX('02_TASK_CATALOG'!F:F,MATCH(C35,'02_TASK_CATALOG'!A:A,0)))</f>
        <v>0</v>
      </c>
      <c r="F35">
        <f>IF(C35="","",INDEX('02_TASK_CATALOG'!G:G,MATCH(C35,'02_TASK_CATALOG'!A:A,0)))</f>
        <v>0</v>
      </c>
      <c r="G35">
        <f>IF(C35="","",INDEX('02_TASK_CATALOG'!H:H,MATCH(C35,'02_TASK_CATALOG'!A:A,0)))</f>
        <v>0</v>
      </c>
      <c r="H35">
        <f>IF(A35="","",MAX(0,E35-F35-G35))</f>
        <v>0</v>
      </c>
      <c r="I35">
        <f>IF(A35="","",H35*IF('03_EXECUTION_LOG'!H35="",1,'03_EXECUTION_LOG'!H35)/60)</f>
        <v>0</v>
      </c>
      <c r="J35">
        <f>IF(D35="","",INDEX('01_ASSUMPTIONS'!C:C,MATCH(D35,'01_ASSUMPTIONS'!A:A,0)))</f>
        <v>0</v>
      </c>
      <c r="K35">
        <f>IF(OR(A35="",L35&lt;&gt;TRUE),0,I35*J35)</f>
        <v>0</v>
      </c>
      <c r="L35" t="b">
        <f>IF(A35="","",AND('03_EXECUTION_LOG'!F35="success",INDEX('02_TASK_CATALOG'!J:J,MATCH(C35,'02_TASK_CATALOG'!A:A,0))=TRUE,H35&gt;0,J35&gt;0,'03_EXECUTION_LOG'!J35&lt;&gt;""))</f>
        <v>0</v>
      </c>
      <c r="M35" t="str">
        <f>IF(A35="","",IF('03_EXECUTION_LOG'!F35&lt;&gt;"success","non-success status",IF(INDEX('02_TASK_CATALOG'!J:J,MATCH(C35,'02_TASK_CATALOG'!A:A,0))&lt;&gt;TRUE,"task not approved",IF(H35&lt;=0,"no net time saved",IF(J35&lt;=0,"missing labor rate",IF('03_EXECUTION_LOG'!J35="","missing evidence",""))))))</f>
        <v/>
      </c>
      <c r="N35" t="str">
        <f>IF(A35="","",IF(AND(L35=TRUE,'03_EXECUTION_LOG'!I35=FALSE),"high",IF(AND(L35=TRUE,'03_EXECUTION_LOG'!I35=TRUE),"medium","low")))</f>
        <v/>
      </c>
      <c r="O35" t="str">
        <f>IF(A35="","",IF(AND(L35=TRUE,'03_EXECUTION_LOG'!J35&lt;&gt;""),"yes","needs-review"))</f>
        <v/>
      </c>
    </row>
    <row r="36">
      <c r="A36" t="str">
        <f>IF('03_EXECUTION_LOG'!A36="","",'03_EXECUTION_LOG'!A36)</f>
        <v/>
      </c>
      <c r="B36" t="str">
        <f>IF('03_EXECUTION_LOG'!B36="","",LEFT('03_EXECUTION_LOG'!B36,7))</f>
        <v/>
      </c>
      <c r="C36" t="str">
        <f>IF('03_EXECUTION_LOG'!E36="","",'03_EXECUTION_LOG'!E36)</f>
        <v/>
      </c>
      <c r="D36" t="str">
        <f>IF(C36="","",INDEX('02_TASK_CATALOG'!E:E,MATCH(C36,'02_TASK_CATALOG'!A:A,0)))</f>
        <v/>
      </c>
      <c r="E36">
        <f>IF(C36="","",INDEX('02_TASK_CATALOG'!F:F,MATCH(C36,'02_TASK_CATALOG'!A:A,0)))</f>
        <v>0</v>
      </c>
      <c r="F36">
        <f>IF(C36="","",INDEX('02_TASK_CATALOG'!G:G,MATCH(C36,'02_TASK_CATALOG'!A:A,0)))</f>
        <v>0</v>
      </c>
      <c r="G36">
        <f>IF(C36="","",INDEX('02_TASK_CATALOG'!H:H,MATCH(C36,'02_TASK_CATALOG'!A:A,0)))</f>
        <v>0</v>
      </c>
      <c r="H36">
        <f>IF(A36="","",MAX(0,E36-F36-G36))</f>
        <v>0</v>
      </c>
      <c r="I36">
        <f>IF(A36="","",H36*IF('03_EXECUTION_LOG'!H36="",1,'03_EXECUTION_LOG'!H36)/60)</f>
        <v>0</v>
      </c>
      <c r="J36">
        <f>IF(D36="","",INDEX('01_ASSUMPTIONS'!C:C,MATCH(D36,'01_ASSUMPTIONS'!A:A,0)))</f>
        <v>0</v>
      </c>
      <c r="K36">
        <f>IF(OR(A36="",L36&lt;&gt;TRUE),0,I36*J36)</f>
        <v>0</v>
      </c>
      <c r="L36" t="b">
        <f>IF(A36="","",AND('03_EXECUTION_LOG'!F36="success",INDEX('02_TASK_CATALOG'!J:J,MATCH(C36,'02_TASK_CATALOG'!A:A,0))=TRUE,H36&gt;0,J36&gt;0,'03_EXECUTION_LOG'!J36&lt;&gt;""))</f>
        <v>0</v>
      </c>
      <c r="M36" t="str">
        <f>IF(A36="","",IF('03_EXECUTION_LOG'!F36&lt;&gt;"success","non-success status",IF(INDEX('02_TASK_CATALOG'!J:J,MATCH(C36,'02_TASK_CATALOG'!A:A,0))&lt;&gt;TRUE,"task not approved",IF(H36&lt;=0,"no net time saved",IF(J36&lt;=0,"missing labor rate",IF('03_EXECUTION_LOG'!J36="","missing evidence",""))))))</f>
        <v/>
      </c>
      <c r="N36" t="str">
        <f>IF(A36="","",IF(AND(L36=TRUE,'03_EXECUTION_LOG'!I36=FALSE),"high",IF(AND(L36=TRUE,'03_EXECUTION_LOG'!I36=TRUE),"medium","low")))</f>
        <v/>
      </c>
      <c r="O36" t="str">
        <f>IF(A36="","",IF(AND(L36=TRUE,'03_EXECUTION_LOG'!J36&lt;&gt;""),"yes","needs-review"))</f>
        <v/>
      </c>
    </row>
    <row r="37">
      <c r="A37" t="str">
        <f>IF('03_EXECUTION_LOG'!A37="","",'03_EXECUTION_LOG'!A37)</f>
        <v/>
      </c>
      <c r="B37" t="str">
        <f>IF('03_EXECUTION_LOG'!B37="","",LEFT('03_EXECUTION_LOG'!B37,7))</f>
        <v/>
      </c>
      <c r="C37" t="str">
        <f>IF('03_EXECUTION_LOG'!E37="","",'03_EXECUTION_LOG'!E37)</f>
        <v/>
      </c>
      <c r="D37" t="str">
        <f>IF(C37="","",INDEX('02_TASK_CATALOG'!E:E,MATCH(C37,'02_TASK_CATALOG'!A:A,0)))</f>
        <v/>
      </c>
      <c r="E37">
        <f>IF(C37="","",INDEX('02_TASK_CATALOG'!F:F,MATCH(C37,'02_TASK_CATALOG'!A:A,0)))</f>
        <v>0</v>
      </c>
      <c r="F37">
        <f>IF(C37="","",INDEX('02_TASK_CATALOG'!G:G,MATCH(C37,'02_TASK_CATALOG'!A:A,0)))</f>
        <v>0</v>
      </c>
      <c r="G37">
        <f>IF(C37="","",INDEX('02_TASK_CATALOG'!H:H,MATCH(C37,'02_TASK_CATALOG'!A:A,0)))</f>
        <v>0</v>
      </c>
      <c r="H37">
        <f>IF(A37="","",MAX(0,E37-F37-G37))</f>
        <v>0</v>
      </c>
      <c r="I37">
        <f>IF(A37="","",H37*IF('03_EXECUTION_LOG'!H37="",1,'03_EXECUTION_LOG'!H37)/60)</f>
        <v>0</v>
      </c>
      <c r="J37">
        <f>IF(D37="","",INDEX('01_ASSUMPTIONS'!C:C,MATCH(D37,'01_ASSUMPTIONS'!A:A,0)))</f>
        <v>0</v>
      </c>
      <c r="K37">
        <f>IF(OR(A37="",L37&lt;&gt;TRUE),0,I37*J37)</f>
        <v>0</v>
      </c>
      <c r="L37" t="b">
        <f>IF(A37="","",AND('03_EXECUTION_LOG'!F37="success",INDEX('02_TASK_CATALOG'!J:J,MATCH(C37,'02_TASK_CATALOG'!A:A,0))=TRUE,H37&gt;0,J37&gt;0,'03_EXECUTION_LOG'!J37&lt;&gt;""))</f>
        <v>0</v>
      </c>
      <c r="M37" t="str">
        <f>IF(A37="","",IF('03_EXECUTION_LOG'!F37&lt;&gt;"success","non-success status",IF(INDEX('02_TASK_CATALOG'!J:J,MATCH(C37,'02_TASK_CATALOG'!A:A,0))&lt;&gt;TRUE,"task not approved",IF(H37&lt;=0,"no net time saved",IF(J37&lt;=0,"missing labor rate",IF('03_EXECUTION_LOG'!J37="","missing evidence",""))))))</f>
        <v/>
      </c>
      <c r="N37" t="str">
        <f>IF(A37="","",IF(AND(L37=TRUE,'03_EXECUTION_LOG'!I37=FALSE),"high",IF(AND(L37=TRUE,'03_EXECUTION_LOG'!I37=TRUE),"medium","low")))</f>
        <v/>
      </c>
      <c r="O37" t="str">
        <f>IF(A37="","",IF(AND(L37=TRUE,'03_EXECUTION_LOG'!J37&lt;&gt;""),"yes","needs-review"))</f>
        <v/>
      </c>
    </row>
    <row r="38">
      <c r="A38" t="str">
        <f>IF('03_EXECUTION_LOG'!A38="","",'03_EXECUTION_LOG'!A38)</f>
        <v/>
      </c>
      <c r="B38" t="str">
        <f>IF('03_EXECUTION_LOG'!B38="","",LEFT('03_EXECUTION_LOG'!B38,7))</f>
        <v/>
      </c>
      <c r="C38" t="str">
        <f>IF('03_EXECUTION_LOG'!E38="","",'03_EXECUTION_LOG'!E38)</f>
        <v/>
      </c>
      <c r="D38" t="str">
        <f>IF(C38="","",INDEX('02_TASK_CATALOG'!E:E,MATCH(C38,'02_TASK_CATALOG'!A:A,0)))</f>
        <v/>
      </c>
      <c r="E38">
        <f>IF(C38="","",INDEX('02_TASK_CATALOG'!F:F,MATCH(C38,'02_TASK_CATALOG'!A:A,0)))</f>
        <v>0</v>
      </c>
      <c r="F38">
        <f>IF(C38="","",INDEX('02_TASK_CATALOG'!G:G,MATCH(C38,'02_TASK_CATALOG'!A:A,0)))</f>
        <v>0</v>
      </c>
      <c r="G38">
        <f>IF(C38="","",INDEX('02_TASK_CATALOG'!H:H,MATCH(C38,'02_TASK_CATALOG'!A:A,0)))</f>
        <v>0</v>
      </c>
      <c r="H38">
        <f>IF(A38="","",MAX(0,E38-F38-G38))</f>
        <v>0</v>
      </c>
      <c r="I38">
        <f>IF(A38="","",H38*IF('03_EXECUTION_LOG'!H38="",1,'03_EXECUTION_LOG'!H38)/60)</f>
        <v>0</v>
      </c>
      <c r="J38">
        <f>IF(D38="","",INDEX('01_ASSUMPTIONS'!C:C,MATCH(D38,'01_ASSUMPTIONS'!A:A,0)))</f>
        <v>0</v>
      </c>
      <c r="K38">
        <f>IF(OR(A38="",L38&lt;&gt;TRUE),0,I38*J38)</f>
        <v>0</v>
      </c>
      <c r="L38" t="b">
        <f>IF(A38="","",AND('03_EXECUTION_LOG'!F38="success",INDEX('02_TASK_CATALOG'!J:J,MATCH(C38,'02_TASK_CATALOG'!A:A,0))=TRUE,H38&gt;0,J38&gt;0,'03_EXECUTION_LOG'!J38&lt;&gt;""))</f>
        <v>0</v>
      </c>
      <c r="M38" t="str">
        <f>IF(A38="","",IF('03_EXECUTION_LOG'!F38&lt;&gt;"success","non-success status",IF(INDEX('02_TASK_CATALOG'!J:J,MATCH(C38,'02_TASK_CATALOG'!A:A,0))&lt;&gt;TRUE,"task not approved",IF(H38&lt;=0,"no net time saved",IF(J38&lt;=0,"missing labor rate",IF('03_EXECUTION_LOG'!J38="","missing evidence",""))))))</f>
        <v/>
      </c>
      <c r="N38" t="str">
        <f>IF(A38="","",IF(AND(L38=TRUE,'03_EXECUTION_LOG'!I38=FALSE),"high",IF(AND(L38=TRUE,'03_EXECUTION_LOG'!I38=TRUE),"medium","low")))</f>
        <v/>
      </c>
      <c r="O38" t="str">
        <f>IF(A38="","",IF(AND(L38=TRUE,'03_EXECUTION_LOG'!J38&lt;&gt;""),"yes","needs-review"))</f>
        <v/>
      </c>
    </row>
    <row r="39">
      <c r="A39" t="str">
        <f>IF('03_EXECUTION_LOG'!A39="","",'03_EXECUTION_LOG'!A39)</f>
        <v/>
      </c>
      <c r="B39" t="str">
        <f>IF('03_EXECUTION_LOG'!B39="","",LEFT('03_EXECUTION_LOG'!B39,7))</f>
        <v/>
      </c>
      <c r="C39" t="str">
        <f>IF('03_EXECUTION_LOG'!E39="","",'03_EXECUTION_LOG'!E39)</f>
        <v/>
      </c>
      <c r="D39" t="str">
        <f>IF(C39="","",INDEX('02_TASK_CATALOG'!E:E,MATCH(C39,'02_TASK_CATALOG'!A:A,0)))</f>
        <v/>
      </c>
      <c r="E39">
        <f>IF(C39="","",INDEX('02_TASK_CATALOG'!F:F,MATCH(C39,'02_TASK_CATALOG'!A:A,0)))</f>
        <v>0</v>
      </c>
      <c r="F39">
        <f>IF(C39="","",INDEX('02_TASK_CATALOG'!G:G,MATCH(C39,'02_TASK_CATALOG'!A:A,0)))</f>
        <v>0</v>
      </c>
      <c r="G39">
        <f>IF(C39="","",INDEX('02_TASK_CATALOG'!H:H,MATCH(C39,'02_TASK_CATALOG'!A:A,0)))</f>
        <v>0</v>
      </c>
      <c r="H39">
        <f>IF(A39="","",MAX(0,E39-F39-G39))</f>
        <v>0</v>
      </c>
      <c r="I39">
        <f>IF(A39="","",H39*IF('03_EXECUTION_LOG'!H39="",1,'03_EXECUTION_LOG'!H39)/60)</f>
        <v>0</v>
      </c>
      <c r="J39">
        <f>IF(D39="","",INDEX('01_ASSUMPTIONS'!C:C,MATCH(D39,'01_ASSUMPTIONS'!A:A,0)))</f>
        <v>0</v>
      </c>
      <c r="K39">
        <f>IF(OR(A39="",L39&lt;&gt;TRUE),0,I39*J39)</f>
        <v>0</v>
      </c>
      <c r="L39" t="b">
        <f>IF(A39="","",AND('03_EXECUTION_LOG'!F39="success",INDEX('02_TASK_CATALOG'!J:J,MATCH(C39,'02_TASK_CATALOG'!A:A,0))=TRUE,H39&gt;0,J39&gt;0,'03_EXECUTION_LOG'!J39&lt;&gt;""))</f>
        <v>0</v>
      </c>
      <c r="M39" t="str">
        <f>IF(A39="","",IF('03_EXECUTION_LOG'!F39&lt;&gt;"success","non-success status",IF(INDEX('02_TASK_CATALOG'!J:J,MATCH(C39,'02_TASK_CATALOG'!A:A,0))&lt;&gt;TRUE,"task not approved",IF(H39&lt;=0,"no net time saved",IF(J39&lt;=0,"missing labor rate",IF('03_EXECUTION_LOG'!J39="","missing evidence",""))))))</f>
        <v/>
      </c>
      <c r="N39" t="str">
        <f>IF(A39="","",IF(AND(L39=TRUE,'03_EXECUTION_LOG'!I39=FALSE),"high",IF(AND(L39=TRUE,'03_EXECUTION_LOG'!I39=TRUE),"medium","low")))</f>
        <v/>
      </c>
      <c r="O39" t="str">
        <f>IF(A39="","",IF(AND(L39=TRUE,'03_EXECUTION_LOG'!J39&lt;&gt;""),"yes","needs-review"))</f>
        <v/>
      </c>
    </row>
    <row r="40">
      <c r="A40" t="str">
        <f>IF('03_EXECUTION_LOG'!A40="","",'03_EXECUTION_LOG'!A40)</f>
        <v/>
      </c>
      <c r="B40" t="str">
        <f>IF('03_EXECUTION_LOG'!B40="","",LEFT('03_EXECUTION_LOG'!B40,7))</f>
        <v/>
      </c>
      <c r="C40" t="str">
        <f>IF('03_EXECUTION_LOG'!E40="","",'03_EXECUTION_LOG'!E40)</f>
        <v/>
      </c>
      <c r="D40" t="str">
        <f>IF(C40="","",INDEX('02_TASK_CATALOG'!E:E,MATCH(C40,'02_TASK_CATALOG'!A:A,0)))</f>
        <v/>
      </c>
      <c r="E40">
        <f>IF(C40="","",INDEX('02_TASK_CATALOG'!F:F,MATCH(C40,'02_TASK_CATALOG'!A:A,0)))</f>
        <v>0</v>
      </c>
      <c r="F40">
        <f>IF(C40="","",INDEX('02_TASK_CATALOG'!G:G,MATCH(C40,'02_TASK_CATALOG'!A:A,0)))</f>
        <v>0</v>
      </c>
      <c r="G40">
        <f>IF(C40="","",INDEX('02_TASK_CATALOG'!H:H,MATCH(C40,'02_TASK_CATALOG'!A:A,0)))</f>
        <v>0</v>
      </c>
      <c r="H40">
        <f>IF(A40="","",MAX(0,E40-F40-G40))</f>
        <v>0</v>
      </c>
      <c r="I40">
        <f>IF(A40="","",H40*IF('03_EXECUTION_LOG'!H40="",1,'03_EXECUTION_LOG'!H40)/60)</f>
        <v>0</v>
      </c>
      <c r="J40">
        <f>IF(D40="","",INDEX('01_ASSUMPTIONS'!C:C,MATCH(D40,'01_ASSUMPTIONS'!A:A,0)))</f>
        <v>0</v>
      </c>
      <c r="K40">
        <f>IF(OR(A40="",L40&lt;&gt;TRUE),0,I40*J40)</f>
        <v>0</v>
      </c>
      <c r="L40" t="b">
        <f>IF(A40="","",AND('03_EXECUTION_LOG'!F40="success",INDEX('02_TASK_CATALOG'!J:J,MATCH(C40,'02_TASK_CATALOG'!A:A,0))=TRUE,H40&gt;0,J40&gt;0,'03_EXECUTION_LOG'!J40&lt;&gt;""))</f>
        <v>0</v>
      </c>
      <c r="M40" t="str">
        <f>IF(A40="","",IF('03_EXECUTION_LOG'!F40&lt;&gt;"success","non-success status",IF(INDEX('02_TASK_CATALOG'!J:J,MATCH(C40,'02_TASK_CATALOG'!A:A,0))&lt;&gt;TRUE,"task not approved",IF(H40&lt;=0,"no net time saved",IF(J40&lt;=0,"missing labor rate",IF('03_EXECUTION_LOG'!J40="","missing evidence",""))))))</f>
        <v/>
      </c>
      <c r="N40" t="str">
        <f>IF(A40="","",IF(AND(L40=TRUE,'03_EXECUTION_LOG'!I40=FALSE),"high",IF(AND(L40=TRUE,'03_EXECUTION_LOG'!I40=TRUE),"medium","low")))</f>
        <v/>
      </c>
      <c r="O40" t="str">
        <f>IF(A40="","",IF(AND(L40=TRUE,'03_EXECUTION_LOG'!J40&lt;&gt;""),"yes","needs-review"))</f>
        <v/>
      </c>
    </row>
    <row r="41">
      <c r="A41" t="str">
        <f>IF('03_EXECUTION_LOG'!A41="","",'03_EXECUTION_LOG'!A41)</f>
        <v/>
      </c>
      <c r="B41" t="str">
        <f>IF('03_EXECUTION_LOG'!B41="","",LEFT('03_EXECUTION_LOG'!B41,7))</f>
        <v/>
      </c>
      <c r="C41" t="str">
        <f>IF('03_EXECUTION_LOG'!E41="","",'03_EXECUTION_LOG'!E41)</f>
        <v/>
      </c>
      <c r="D41" t="str">
        <f>IF(C41="","",INDEX('02_TASK_CATALOG'!E:E,MATCH(C41,'02_TASK_CATALOG'!A:A,0)))</f>
        <v/>
      </c>
      <c r="E41">
        <f>IF(C41="","",INDEX('02_TASK_CATALOG'!F:F,MATCH(C41,'02_TASK_CATALOG'!A:A,0)))</f>
        <v>0</v>
      </c>
      <c r="F41">
        <f>IF(C41="","",INDEX('02_TASK_CATALOG'!G:G,MATCH(C41,'02_TASK_CATALOG'!A:A,0)))</f>
        <v>0</v>
      </c>
      <c r="G41">
        <f>IF(C41="","",INDEX('02_TASK_CATALOG'!H:H,MATCH(C41,'02_TASK_CATALOG'!A:A,0)))</f>
        <v>0</v>
      </c>
      <c r="H41">
        <f>IF(A41="","",MAX(0,E41-F41-G41))</f>
        <v>0</v>
      </c>
      <c r="I41">
        <f>IF(A41="","",H41*IF('03_EXECUTION_LOG'!H41="",1,'03_EXECUTION_LOG'!H41)/60)</f>
        <v>0</v>
      </c>
      <c r="J41">
        <f>IF(D41="","",INDEX('01_ASSUMPTIONS'!C:C,MATCH(D41,'01_ASSUMPTIONS'!A:A,0)))</f>
        <v>0</v>
      </c>
      <c r="K41">
        <f>IF(OR(A41="",L41&lt;&gt;TRUE),0,I41*J41)</f>
        <v>0</v>
      </c>
      <c r="L41" t="b">
        <f>IF(A41="","",AND('03_EXECUTION_LOG'!F41="success",INDEX('02_TASK_CATALOG'!J:J,MATCH(C41,'02_TASK_CATALOG'!A:A,0))=TRUE,H41&gt;0,J41&gt;0,'03_EXECUTION_LOG'!J41&lt;&gt;""))</f>
        <v>0</v>
      </c>
      <c r="M41" t="str">
        <f>IF(A41="","",IF('03_EXECUTION_LOG'!F41&lt;&gt;"success","non-success status",IF(INDEX('02_TASK_CATALOG'!J:J,MATCH(C41,'02_TASK_CATALOG'!A:A,0))&lt;&gt;TRUE,"task not approved",IF(H41&lt;=0,"no net time saved",IF(J41&lt;=0,"missing labor rate",IF('03_EXECUTION_LOG'!J41="","missing evidence",""))))))</f>
        <v/>
      </c>
      <c r="N41" t="str">
        <f>IF(A41="","",IF(AND(L41=TRUE,'03_EXECUTION_LOG'!I41=FALSE),"high",IF(AND(L41=TRUE,'03_EXECUTION_LOG'!I41=TRUE),"medium","low")))</f>
        <v/>
      </c>
      <c r="O41" t="str">
        <f>IF(A41="","",IF(AND(L41=TRUE,'03_EXECUTION_LOG'!J41&lt;&gt;""),"yes","needs-review"))</f>
        <v/>
      </c>
    </row>
    <row r="42">
      <c r="A42" t="str">
        <f>IF('03_EXECUTION_LOG'!A42="","",'03_EXECUTION_LOG'!A42)</f>
        <v/>
      </c>
      <c r="B42" t="str">
        <f>IF('03_EXECUTION_LOG'!B42="","",LEFT('03_EXECUTION_LOG'!B42,7))</f>
        <v/>
      </c>
      <c r="C42" t="str">
        <f>IF('03_EXECUTION_LOG'!E42="","",'03_EXECUTION_LOG'!E42)</f>
        <v/>
      </c>
      <c r="D42" t="str">
        <f>IF(C42="","",INDEX('02_TASK_CATALOG'!E:E,MATCH(C42,'02_TASK_CATALOG'!A:A,0)))</f>
        <v/>
      </c>
      <c r="E42">
        <f>IF(C42="","",INDEX('02_TASK_CATALOG'!F:F,MATCH(C42,'02_TASK_CATALOG'!A:A,0)))</f>
        <v>0</v>
      </c>
      <c r="F42">
        <f>IF(C42="","",INDEX('02_TASK_CATALOG'!G:G,MATCH(C42,'02_TASK_CATALOG'!A:A,0)))</f>
        <v>0</v>
      </c>
      <c r="G42">
        <f>IF(C42="","",INDEX('02_TASK_CATALOG'!H:H,MATCH(C42,'02_TASK_CATALOG'!A:A,0)))</f>
        <v>0</v>
      </c>
      <c r="H42">
        <f>IF(A42="","",MAX(0,E42-F42-G42))</f>
        <v>0</v>
      </c>
      <c r="I42">
        <f>IF(A42="","",H42*IF('03_EXECUTION_LOG'!H42="",1,'03_EXECUTION_LOG'!H42)/60)</f>
        <v>0</v>
      </c>
      <c r="J42">
        <f>IF(D42="","",INDEX('01_ASSUMPTIONS'!C:C,MATCH(D42,'01_ASSUMPTIONS'!A:A,0)))</f>
        <v>0</v>
      </c>
      <c r="K42">
        <f>IF(OR(A42="",L42&lt;&gt;TRUE),0,I42*J42)</f>
        <v>0</v>
      </c>
      <c r="L42" t="b">
        <f>IF(A42="","",AND('03_EXECUTION_LOG'!F42="success",INDEX('02_TASK_CATALOG'!J:J,MATCH(C42,'02_TASK_CATALOG'!A:A,0))=TRUE,H42&gt;0,J42&gt;0,'03_EXECUTION_LOG'!J42&lt;&gt;""))</f>
        <v>0</v>
      </c>
      <c r="M42" t="str">
        <f>IF(A42="","",IF('03_EXECUTION_LOG'!F42&lt;&gt;"success","non-success status",IF(INDEX('02_TASK_CATALOG'!J:J,MATCH(C42,'02_TASK_CATALOG'!A:A,0))&lt;&gt;TRUE,"task not approved",IF(H42&lt;=0,"no net time saved",IF(J42&lt;=0,"missing labor rate",IF('03_EXECUTION_LOG'!J42="","missing evidence",""))))))</f>
        <v/>
      </c>
      <c r="N42" t="str">
        <f>IF(A42="","",IF(AND(L42=TRUE,'03_EXECUTION_LOG'!I42=FALSE),"high",IF(AND(L42=TRUE,'03_EXECUTION_LOG'!I42=TRUE),"medium","low")))</f>
        <v/>
      </c>
      <c r="O42" t="str">
        <f>IF(A42="","",IF(AND(L42=TRUE,'03_EXECUTION_LOG'!J42&lt;&gt;""),"yes","needs-review"))</f>
        <v/>
      </c>
    </row>
    <row r="43">
      <c r="A43" t="str">
        <f>IF('03_EXECUTION_LOG'!A43="","",'03_EXECUTION_LOG'!A43)</f>
        <v/>
      </c>
      <c r="B43" t="str">
        <f>IF('03_EXECUTION_LOG'!B43="","",LEFT('03_EXECUTION_LOG'!B43,7))</f>
        <v/>
      </c>
      <c r="C43" t="str">
        <f>IF('03_EXECUTION_LOG'!E43="","",'03_EXECUTION_LOG'!E43)</f>
        <v/>
      </c>
      <c r="D43" t="str">
        <f>IF(C43="","",INDEX('02_TASK_CATALOG'!E:E,MATCH(C43,'02_TASK_CATALOG'!A:A,0)))</f>
        <v/>
      </c>
      <c r="E43">
        <f>IF(C43="","",INDEX('02_TASK_CATALOG'!F:F,MATCH(C43,'02_TASK_CATALOG'!A:A,0)))</f>
        <v>0</v>
      </c>
      <c r="F43">
        <f>IF(C43="","",INDEX('02_TASK_CATALOG'!G:G,MATCH(C43,'02_TASK_CATALOG'!A:A,0)))</f>
        <v>0</v>
      </c>
      <c r="G43">
        <f>IF(C43="","",INDEX('02_TASK_CATALOG'!H:H,MATCH(C43,'02_TASK_CATALOG'!A:A,0)))</f>
        <v>0</v>
      </c>
      <c r="H43">
        <f>IF(A43="","",MAX(0,E43-F43-G43))</f>
        <v>0</v>
      </c>
      <c r="I43">
        <f>IF(A43="","",H43*IF('03_EXECUTION_LOG'!H43="",1,'03_EXECUTION_LOG'!H43)/60)</f>
        <v>0</v>
      </c>
      <c r="J43">
        <f>IF(D43="","",INDEX('01_ASSUMPTIONS'!C:C,MATCH(D43,'01_ASSUMPTIONS'!A:A,0)))</f>
        <v>0</v>
      </c>
      <c r="K43">
        <f>IF(OR(A43="",L43&lt;&gt;TRUE),0,I43*J43)</f>
        <v>0</v>
      </c>
      <c r="L43" t="b">
        <f>IF(A43="","",AND('03_EXECUTION_LOG'!F43="success",INDEX('02_TASK_CATALOG'!J:J,MATCH(C43,'02_TASK_CATALOG'!A:A,0))=TRUE,H43&gt;0,J43&gt;0,'03_EXECUTION_LOG'!J43&lt;&gt;""))</f>
        <v>0</v>
      </c>
      <c r="M43" t="str">
        <f>IF(A43="","",IF('03_EXECUTION_LOG'!F43&lt;&gt;"success","non-success status",IF(INDEX('02_TASK_CATALOG'!J:J,MATCH(C43,'02_TASK_CATALOG'!A:A,0))&lt;&gt;TRUE,"task not approved",IF(H43&lt;=0,"no net time saved",IF(J43&lt;=0,"missing labor rate",IF('03_EXECUTION_LOG'!J43="","missing evidence",""))))))</f>
        <v/>
      </c>
      <c r="N43" t="str">
        <f>IF(A43="","",IF(AND(L43=TRUE,'03_EXECUTION_LOG'!I43=FALSE),"high",IF(AND(L43=TRUE,'03_EXECUTION_LOG'!I43=TRUE),"medium","low")))</f>
        <v/>
      </c>
      <c r="O43" t="str">
        <f>IF(A43="","",IF(AND(L43=TRUE,'03_EXECUTION_LOG'!J43&lt;&gt;""),"yes","needs-review"))</f>
        <v/>
      </c>
    </row>
    <row r="44">
      <c r="A44" t="str">
        <f>IF('03_EXECUTION_LOG'!A44="","",'03_EXECUTION_LOG'!A44)</f>
        <v/>
      </c>
      <c r="B44" t="str">
        <f>IF('03_EXECUTION_LOG'!B44="","",LEFT('03_EXECUTION_LOG'!B44,7))</f>
        <v/>
      </c>
      <c r="C44" t="str">
        <f>IF('03_EXECUTION_LOG'!E44="","",'03_EXECUTION_LOG'!E44)</f>
        <v/>
      </c>
      <c r="D44" t="str">
        <f>IF(C44="","",INDEX('02_TASK_CATALOG'!E:E,MATCH(C44,'02_TASK_CATALOG'!A:A,0)))</f>
        <v/>
      </c>
      <c r="E44">
        <f>IF(C44="","",INDEX('02_TASK_CATALOG'!F:F,MATCH(C44,'02_TASK_CATALOG'!A:A,0)))</f>
        <v>0</v>
      </c>
      <c r="F44">
        <f>IF(C44="","",INDEX('02_TASK_CATALOG'!G:G,MATCH(C44,'02_TASK_CATALOG'!A:A,0)))</f>
        <v>0</v>
      </c>
      <c r="G44">
        <f>IF(C44="","",INDEX('02_TASK_CATALOG'!H:H,MATCH(C44,'02_TASK_CATALOG'!A:A,0)))</f>
        <v>0</v>
      </c>
      <c r="H44">
        <f>IF(A44="","",MAX(0,E44-F44-G44))</f>
        <v>0</v>
      </c>
      <c r="I44">
        <f>IF(A44="","",H44*IF('03_EXECUTION_LOG'!H44="",1,'03_EXECUTION_LOG'!H44)/60)</f>
        <v>0</v>
      </c>
      <c r="J44">
        <f>IF(D44="","",INDEX('01_ASSUMPTIONS'!C:C,MATCH(D44,'01_ASSUMPTIONS'!A:A,0)))</f>
        <v>0</v>
      </c>
      <c r="K44">
        <f>IF(OR(A44="",L44&lt;&gt;TRUE),0,I44*J44)</f>
        <v>0</v>
      </c>
      <c r="L44" t="b">
        <f>IF(A44="","",AND('03_EXECUTION_LOG'!F44="success",INDEX('02_TASK_CATALOG'!J:J,MATCH(C44,'02_TASK_CATALOG'!A:A,0))=TRUE,H44&gt;0,J44&gt;0,'03_EXECUTION_LOG'!J44&lt;&gt;""))</f>
        <v>0</v>
      </c>
      <c r="M44" t="str">
        <f>IF(A44="","",IF('03_EXECUTION_LOG'!F44&lt;&gt;"success","non-success status",IF(INDEX('02_TASK_CATALOG'!J:J,MATCH(C44,'02_TASK_CATALOG'!A:A,0))&lt;&gt;TRUE,"task not approved",IF(H44&lt;=0,"no net time saved",IF(J44&lt;=0,"missing labor rate",IF('03_EXECUTION_LOG'!J44="","missing evidence",""))))))</f>
        <v/>
      </c>
      <c r="N44" t="str">
        <f>IF(A44="","",IF(AND(L44=TRUE,'03_EXECUTION_LOG'!I44=FALSE),"high",IF(AND(L44=TRUE,'03_EXECUTION_LOG'!I44=TRUE),"medium","low")))</f>
        <v/>
      </c>
      <c r="O44" t="str">
        <f>IF(A44="","",IF(AND(L44=TRUE,'03_EXECUTION_LOG'!J44&lt;&gt;""),"yes","needs-review"))</f>
        <v/>
      </c>
    </row>
    <row r="45">
      <c r="A45" t="str">
        <f>IF('03_EXECUTION_LOG'!A45="","",'03_EXECUTION_LOG'!A45)</f>
        <v/>
      </c>
      <c r="B45" t="str">
        <f>IF('03_EXECUTION_LOG'!B45="","",LEFT('03_EXECUTION_LOG'!B45,7))</f>
        <v/>
      </c>
      <c r="C45" t="str">
        <f>IF('03_EXECUTION_LOG'!E45="","",'03_EXECUTION_LOG'!E45)</f>
        <v/>
      </c>
      <c r="D45" t="str">
        <f>IF(C45="","",INDEX('02_TASK_CATALOG'!E:E,MATCH(C45,'02_TASK_CATALOG'!A:A,0)))</f>
        <v/>
      </c>
      <c r="E45">
        <f>IF(C45="","",INDEX('02_TASK_CATALOG'!F:F,MATCH(C45,'02_TASK_CATALOG'!A:A,0)))</f>
        <v>0</v>
      </c>
      <c r="F45">
        <f>IF(C45="","",INDEX('02_TASK_CATALOG'!G:G,MATCH(C45,'02_TASK_CATALOG'!A:A,0)))</f>
        <v>0</v>
      </c>
      <c r="G45">
        <f>IF(C45="","",INDEX('02_TASK_CATALOG'!H:H,MATCH(C45,'02_TASK_CATALOG'!A:A,0)))</f>
        <v>0</v>
      </c>
      <c r="H45">
        <f>IF(A45="","",MAX(0,E45-F45-G45))</f>
        <v>0</v>
      </c>
      <c r="I45">
        <f>IF(A45="","",H45*IF('03_EXECUTION_LOG'!H45="",1,'03_EXECUTION_LOG'!H45)/60)</f>
        <v>0</v>
      </c>
      <c r="J45">
        <f>IF(D45="","",INDEX('01_ASSUMPTIONS'!C:C,MATCH(D45,'01_ASSUMPTIONS'!A:A,0)))</f>
        <v>0</v>
      </c>
      <c r="K45">
        <f>IF(OR(A45="",L45&lt;&gt;TRUE),0,I45*J45)</f>
        <v>0</v>
      </c>
      <c r="L45" t="b">
        <f>IF(A45="","",AND('03_EXECUTION_LOG'!F45="success",INDEX('02_TASK_CATALOG'!J:J,MATCH(C45,'02_TASK_CATALOG'!A:A,0))=TRUE,H45&gt;0,J45&gt;0,'03_EXECUTION_LOG'!J45&lt;&gt;""))</f>
        <v>0</v>
      </c>
      <c r="M45" t="str">
        <f>IF(A45="","",IF('03_EXECUTION_LOG'!F45&lt;&gt;"success","non-success status",IF(INDEX('02_TASK_CATALOG'!J:J,MATCH(C45,'02_TASK_CATALOG'!A:A,0))&lt;&gt;TRUE,"task not approved",IF(H45&lt;=0,"no net time saved",IF(J45&lt;=0,"missing labor rate",IF('03_EXECUTION_LOG'!J45="","missing evidence",""))))))</f>
        <v/>
      </c>
      <c r="N45" t="str">
        <f>IF(A45="","",IF(AND(L45=TRUE,'03_EXECUTION_LOG'!I45=FALSE),"high",IF(AND(L45=TRUE,'03_EXECUTION_LOG'!I45=TRUE),"medium","low")))</f>
        <v/>
      </c>
      <c r="O45" t="str">
        <f>IF(A45="","",IF(AND(L45=TRUE,'03_EXECUTION_LOG'!J45&lt;&gt;""),"yes","needs-review"))</f>
        <v/>
      </c>
    </row>
    <row r="46">
      <c r="A46" t="str">
        <f>IF('03_EXECUTION_LOG'!A46="","",'03_EXECUTION_LOG'!A46)</f>
        <v/>
      </c>
      <c r="B46" t="str">
        <f>IF('03_EXECUTION_LOG'!B46="","",LEFT('03_EXECUTION_LOG'!B46,7))</f>
        <v/>
      </c>
      <c r="C46" t="str">
        <f>IF('03_EXECUTION_LOG'!E46="","",'03_EXECUTION_LOG'!E46)</f>
        <v/>
      </c>
      <c r="D46" t="str">
        <f>IF(C46="","",INDEX('02_TASK_CATALOG'!E:E,MATCH(C46,'02_TASK_CATALOG'!A:A,0)))</f>
        <v/>
      </c>
      <c r="E46">
        <f>IF(C46="","",INDEX('02_TASK_CATALOG'!F:F,MATCH(C46,'02_TASK_CATALOG'!A:A,0)))</f>
        <v>0</v>
      </c>
      <c r="F46">
        <f>IF(C46="","",INDEX('02_TASK_CATALOG'!G:G,MATCH(C46,'02_TASK_CATALOG'!A:A,0)))</f>
        <v>0</v>
      </c>
      <c r="G46">
        <f>IF(C46="","",INDEX('02_TASK_CATALOG'!H:H,MATCH(C46,'02_TASK_CATALOG'!A:A,0)))</f>
        <v>0</v>
      </c>
      <c r="H46">
        <f>IF(A46="","",MAX(0,E46-F46-G46))</f>
        <v>0</v>
      </c>
      <c r="I46">
        <f>IF(A46="","",H46*IF('03_EXECUTION_LOG'!H46="",1,'03_EXECUTION_LOG'!H46)/60)</f>
        <v>0</v>
      </c>
      <c r="J46">
        <f>IF(D46="","",INDEX('01_ASSUMPTIONS'!C:C,MATCH(D46,'01_ASSUMPTIONS'!A:A,0)))</f>
        <v>0</v>
      </c>
      <c r="K46">
        <f>IF(OR(A46="",L46&lt;&gt;TRUE),0,I46*J46)</f>
        <v>0</v>
      </c>
      <c r="L46" t="b">
        <f>IF(A46="","",AND('03_EXECUTION_LOG'!F46="success",INDEX('02_TASK_CATALOG'!J:J,MATCH(C46,'02_TASK_CATALOG'!A:A,0))=TRUE,H46&gt;0,J46&gt;0,'03_EXECUTION_LOG'!J46&lt;&gt;""))</f>
        <v>0</v>
      </c>
      <c r="M46" t="str">
        <f>IF(A46="","",IF('03_EXECUTION_LOG'!F46&lt;&gt;"success","non-success status",IF(INDEX('02_TASK_CATALOG'!J:J,MATCH(C46,'02_TASK_CATALOG'!A:A,0))&lt;&gt;TRUE,"task not approved",IF(H46&lt;=0,"no net time saved",IF(J46&lt;=0,"missing labor rate",IF('03_EXECUTION_LOG'!J46="","missing evidence",""))))))</f>
        <v/>
      </c>
      <c r="N46" t="str">
        <f>IF(A46="","",IF(AND(L46=TRUE,'03_EXECUTION_LOG'!I46=FALSE),"high",IF(AND(L46=TRUE,'03_EXECUTION_LOG'!I46=TRUE),"medium","low")))</f>
        <v/>
      </c>
      <c r="O46" t="str">
        <f>IF(A46="","",IF(AND(L46=TRUE,'03_EXECUTION_LOG'!J46&lt;&gt;""),"yes","needs-review"))</f>
        <v/>
      </c>
    </row>
    <row r="47">
      <c r="A47" t="str">
        <f>IF('03_EXECUTION_LOG'!A47="","",'03_EXECUTION_LOG'!A47)</f>
        <v/>
      </c>
      <c r="B47" t="str">
        <f>IF('03_EXECUTION_LOG'!B47="","",LEFT('03_EXECUTION_LOG'!B47,7))</f>
        <v/>
      </c>
      <c r="C47" t="str">
        <f>IF('03_EXECUTION_LOG'!E47="","",'03_EXECUTION_LOG'!E47)</f>
        <v/>
      </c>
      <c r="D47" t="str">
        <f>IF(C47="","",INDEX('02_TASK_CATALOG'!E:E,MATCH(C47,'02_TASK_CATALOG'!A:A,0)))</f>
        <v/>
      </c>
      <c r="E47">
        <f>IF(C47="","",INDEX('02_TASK_CATALOG'!F:F,MATCH(C47,'02_TASK_CATALOG'!A:A,0)))</f>
        <v>0</v>
      </c>
      <c r="F47">
        <f>IF(C47="","",INDEX('02_TASK_CATALOG'!G:G,MATCH(C47,'02_TASK_CATALOG'!A:A,0)))</f>
        <v>0</v>
      </c>
      <c r="G47">
        <f>IF(C47="","",INDEX('02_TASK_CATALOG'!H:H,MATCH(C47,'02_TASK_CATALOG'!A:A,0)))</f>
        <v>0</v>
      </c>
      <c r="H47">
        <f>IF(A47="","",MAX(0,E47-F47-G47))</f>
        <v>0</v>
      </c>
      <c r="I47">
        <f>IF(A47="","",H47*IF('03_EXECUTION_LOG'!H47="",1,'03_EXECUTION_LOG'!H47)/60)</f>
        <v>0</v>
      </c>
      <c r="J47">
        <f>IF(D47="","",INDEX('01_ASSUMPTIONS'!C:C,MATCH(D47,'01_ASSUMPTIONS'!A:A,0)))</f>
        <v>0</v>
      </c>
      <c r="K47">
        <f>IF(OR(A47="",L47&lt;&gt;TRUE),0,I47*J47)</f>
        <v>0</v>
      </c>
      <c r="L47" t="b">
        <f>IF(A47="","",AND('03_EXECUTION_LOG'!F47="success",INDEX('02_TASK_CATALOG'!J:J,MATCH(C47,'02_TASK_CATALOG'!A:A,0))=TRUE,H47&gt;0,J47&gt;0,'03_EXECUTION_LOG'!J47&lt;&gt;""))</f>
        <v>0</v>
      </c>
      <c r="M47" t="str">
        <f>IF(A47="","",IF('03_EXECUTION_LOG'!F47&lt;&gt;"success","non-success status",IF(INDEX('02_TASK_CATALOG'!J:J,MATCH(C47,'02_TASK_CATALOG'!A:A,0))&lt;&gt;TRUE,"task not approved",IF(H47&lt;=0,"no net time saved",IF(J47&lt;=0,"missing labor rate",IF('03_EXECUTION_LOG'!J47="","missing evidence",""))))))</f>
        <v/>
      </c>
      <c r="N47" t="str">
        <f>IF(A47="","",IF(AND(L47=TRUE,'03_EXECUTION_LOG'!I47=FALSE),"high",IF(AND(L47=TRUE,'03_EXECUTION_LOG'!I47=TRUE),"medium","low")))</f>
        <v/>
      </c>
      <c r="O47" t="str">
        <f>IF(A47="","",IF(AND(L47=TRUE,'03_EXECUTION_LOG'!J47&lt;&gt;""),"yes","needs-review"))</f>
        <v/>
      </c>
    </row>
    <row r="48">
      <c r="A48" t="str">
        <f>IF('03_EXECUTION_LOG'!A48="","",'03_EXECUTION_LOG'!A48)</f>
        <v/>
      </c>
      <c r="B48" t="str">
        <f>IF('03_EXECUTION_LOG'!B48="","",LEFT('03_EXECUTION_LOG'!B48,7))</f>
        <v/>
      </c>
      <c r="C48" t="str">
        <f>IF('03_EXECUTION_LOG'!E48="","",'03_EXECUTION_LOG'!E48)</f>
        <v/>
      </c>
      <c r="D48" t="str">
        <f>IF(C48="","",INDEX('02_TASK_CATALOG'!E:E,MATCH(C48,'02_TASK_CATALOG'!A:A,0)))</f>
        <v/>
      </c>
      <c r="E48">
        <f>IF(C48="","",INDEX('02_TASK_CATALOG'!F:F,MATCH(C48,'02_TASK_CATALOG'!A:A,0)))</f>
        <v>0</v>
      </c>
      <c r="F48">
        <f>IF(C48="","",INDEX('02_TASK_CATALOG'!G:G,MATCH(C48,'02_TASK_CATALOG'!A:A,0)))</f>
        <v>0</v>
      </c>
      <c r="G48">
        <f>IF(C48="","",INDEX('02_TASK_CATALOG'!H:H,MATCH(C48,'02_TASK_CATALOG'!A:A,0)))</f>
        <v>0</v>
      </c>
      <c r="H48">
        <f>IF(A48="","",MAX(0,E48-F48-G48))</f>
        <v>0</v>
      </c>
      <c r="I48">
        <f>IF(A48="","",H48*IF('03_EXECUTION_LOG'!H48="",1,'03_EXECUTION_LOG'!H48)/60)</f>
        <v>0</v>
      </c>
      <c r="J48">
        <f>IF(D48="","",INDEX('01_ASSUMPTIONS'!C:C,MATCH(D48,'01_ASSUMPTIONS'!A:A,0)))</f>
        <v>0</v>
      </c>
      <c r="K48">
        <f>IF(OR(A48="",L48&lt;&gt;TRUE),0,I48*J48)</f>
        <v>0</v>
      </c>
      <c r="L48" t="b">
        <f>IF(A48="","",AND('03_EXECUTION_LOG'!F48="success",INDEX('02_TASK_CATALOG'!J:J,MATCH(C48,'02_TASK_CATALOG'!A:A,0))=TRUE,H48&gt;0,J48&gt;0,'03_EXECUTION_LOG'!J48&lt;&gt;""))</f>
        <v>0</v>
      </c>
      <c r="M48" t="str">
        <f>IF(A48="","",IF('03_EXECUTION_LOG'!F48&lt;&gt;"success","non-success status",IF(INDEX('02_TASK_CATALOG'!J:J,MATCH(C48,'02_TASK_CATALOG'!A:A,0))&lt;&gt;TRUE,"task not approved",IF(H48&lt;=0,"no net time saved",IF(J48&lt;=0,"missing labor rate",IF('03_EXECUTION_LOG'!J48="","missing evidence",""))))))</f>
        <v/>
      </c>
      <c r="N48" t="str">
        <f>IF(A48="","",IF(AND(L48=TRUE,'03_EXECUTION_LOG'!I48=FALSE),"high",IF(AND(L48=TRUE,'03_EXECUTION_LOG'!I48=TRUE),"medium","low")))</f>
        <v/>
      </c>
      <c r="O48" t="str">
        <f>IF(A48="","",IF(AND(L48=TRUE,'03_EXECUTION_LOG'!J48&lt;&gt;""),"yes","needs-review"))</f>
        <v/>
      </c>
    </row>
    <row r="49">
      <c r="A49" t="str">
        <f>IF('03_EXECUTION_LOG'!A49="","",'03_EXECUTION_LOG'!A49)</f>
        <v/>
      </c>
      <c r="B49" t="str">
        <f>IF('03_EXECUTION_LOG'!B49="","",LEFT('03_EXECUTION_LOG'!B49,7))</f>
        <v/>
      </c>
      <c r="C49" t="str">
        <f>IF('03_EXECUTION_LOG'!E49="","",'03_EXECUTION_LOG'!E49)</f>
        <v/>
      </c>
      <c r="D49" t="str">
        <f>IF(C49="","",INDEX('02_TASK_CATALOG'!E:E,MATCH(C49,'02_TASK_CATALOG'!A:A,0)))</f>
        <v/>
      </c>
      <c r="E49">
        <f>IF(C49="","",INDEX('02_TASK_CATALOG'!F:F,MATCH(C49,'02_TASK_CATALOG'!A:A,0)))</f>
        <v>0</v>
      </c>
      <c r="F49">
        <f>IF(C49="","",INDEX('02_TASK_CATALOG'!G:G,MATCH(C49,'02_TASK_CATALOG'!A:A,0)))</f>
        <v>0</v>
      </c>
      <c r="G49">
        <f>IF(C49="","",INDEX('02_TASK_CATALOG'!H:H,MATCH(C49,'02_TASK_CATALOG'!A:A,0)))</f>
        <v>0</v>
      </c>
      <c r="H49">
        <f>IF(A49="","",MAX(0,E49-F49-G49))</f>
        <v>0</v>
      </c>
      <c r="I49">
        <f>IF(A49="","",H49*IF('03_EXECUTION_LOG'!H49="",1,'03_EXECUTION_LOG'!H49)/60)</f>
        <v>0</v>
      </c>
      <c r="J49">
        <f>IF(D49="","",INDEX('01_ASSUMPTIONS'!C:C,MATCH(D49,'01_ASSUMPTIONS'!A:A,0)))</f>
        <v>0</v>
      </c>
      <c r="K49">
        <f>IF(OR(A49="",L49&lt;&gt;TRUE),0,I49*J49)</f>
        <v>0</v>
      </c>
      <c r="L49" t="b">
        <f>IF(A49="","",AND('03_EXECUTION_LOG'!F49="success",INDEX('02_TASK_CATALOG'!J:J,MATCH(C49,'02_TASK_CATALOG'!A:A,0))=TRUE,H49&gt;0,J49&gt;0,'03_EXECUTION_LOG'!J49&lt;&gt;""))</f>
        <v>0</v>
      </c>
      <c r="M49" t="str">
        <f>IF(A49="","",IF('03_EXECUTION_LOG'!F49&lt;&gt;"success","non-success status",IF(INDEX('02_TASK_CATALOG'!J:J,MATCH(C49,'02_TASK_CATALOG'!A:A,0))&lt;&gt;TRUE,"task not approved",IF(H49&lt;=0,"no net time saved",IF(J49&lt;=0,"missing labor rate",IF('03_EXECUTION_LOG'!J49="","missing evidence",""))))))</f>
        <v/>
      </c>
      <c r="N49" t="str">
        <f>IF(A49="","",IF(AND(L49=TRUE,'03_EXECUTION_LOG'!I49=FALSE),"high",IF(AND(L49=TRUE,'03_EXECUTION_LOG'!I49=TRUE),"medium","low")))</f>
        <v/>
      </c>
      <c r="O49" t="str">
        <f>IF(A49="","",IF(AND(L49=TRUE,'03_EXECUTION_LOG'!J49&lt;&gt;""),"yes","needs-review"))</f>
        <v/>
      </c>
    </row>
    <row r="50">
      <c r="A50" t="str">
        <f>IF('03_EXECUTION_LOG'!A50="","",'03_EXECUTION_LOG'!A50)</f>
        <v/>
      </c>
      <c r="B50" t="str">
        <f>IF('03_EXECUTION_LOG'!B50="","",LEFT('03_EXECUTION_LOG'!B50,7))</f>
        <v/>
      </c>
      <c r="C50" t="str">
        <f>IF('03_EXECUTION_LOG'!E50="","",'03_EXECUTION_LOG'!E50)</f>
        <v/>
      </c>
      <c r="D50" t="str">
        <f>IF(C50="","",INDEX('02_TASK_CATALOG'!E:E,MATCH(C50,'02_TASK_CATALOG'!A:A,0)))</f>
        <v/>
      </c>
      <c r="E50">
        <f>IF(C50="","",INDEX('02_TASK_CATALOG'!F:F,MATCH(C50,'02_TASK_CATALOG'!A:A,0)))</f>
        <v>0</v>
      </c>
      <c r="F50">
        <f>IF(C50="","",INDEX('02_TASK_CATALOG'!G:G,MATCH(C50,'02_TASK_CATALOG'!A:A,0)))</f>
        <v>0</v>
      </c>
      <c r="G50">
        <f>IF(C50="","",INDEX('02_TASK_CATALOG'!H:H,MATCH(C50,'02_TASK_CATALOG'!A:A,0)))</f>
        <v>0</v>
      </c>
      <c r="H50">
        <f>IF(A50="","",MAX(0,E50-F50-G50))</f>
        <v>0</v>
      </c>
      <c r="I50">
        <f>IF(A50="","",H50*IF('03_EXECUTION_LOG'!H50="",1,'03_EXECUTION_LOG'!H50)/60)</f>
        <v>0</v>
      </c>
      <c r="J50">
        <f>IF(D50="","",INDEX('01_ASSUMPTIONS'!C:C,MATCH(D50,'01_ASSUMPTIONS'!A:A,0)))</f>
        <v>0</v>
      </c>
      <c r="K50">
        <f>IF(OR(A50="",L50&lt;&gt;TRUE),0,I50*J50)</f>
        <v>0</v>
      </c>
      <c r="L50" t="b">
        <f>IF(A50="","",AND('03_EXECUTION_LOG'!F50="success",INDEX('02_TASK_CATALOG'!J:J,MATCH(C50,'02_TASK_CATALOG'!A:A,0))=TRUE,H50&gt;0,J50&gt;0,'03_EXECUTION_LOG'!J50&lt;&gt;""))</f>
        <v>0</v>
      </c>
      <c r="M50" t="str">
        <f>IF(A50="","",IF('03_EXECUTION_LOG'!F50&lt;&gt;"success","non-success status",IF(INDEX('02_TASK_CATALOG'!J:J,MATCH(C50,'02_TASK_CATALOG'!A:A,0))&lt;&gt;TRUE,"task not approved",IF(H50&lt;=0,"no net time saved",IF(J50&lt;=0,"missing labor rate",IF('03_EXECUTION_LOG'!J50="","missing evidence",""))))))</f>
        <v/>
      </c>
      <c r="N50" t="str">
        <f>IF(A50="","",IF(AND(L50=TRUE,'03_EXECUTION_LOG'!I50=FALSE),"high",IF(AND(L50=TRUE,'03_EXECUTION_LOG'!I50=TRUE),"medium","low")))</f>
        <v/>
      </c>
      <c r="O50" t="str">
        <f>IF(A50="","",IF(AND(L50=TRUE,'03_EXECUTION_LOG'!J50&lt;&gt;""),"yes","needs-review"))</f>
        <v/>
      </c>
    </row>
    <row r="51">
      <c r="A51" t="str">
        <f>IF('03_EXECUTION_LOG'!A51="","",'03_EXECUTION_LOG'!A51)</f>
        <v/>
      </c>
      <c r="B51" t="str">
        <f>IF('03_EXECUTION_LOG'!B51="","",LEFT('03_EXECUTION_LOG'!B51,7))</f>
        <v/>
      </c>
      <c r="C51" t="str">
        <f>IF('03_EXECUTION_LOG'!E51="","",'03_EXECUTION_LOG'!E51)</f>
        <v/>
      </c>
      <c r="D51" t="str">
        <f>IF(C51="","",INDEX('02_TASK_CATALOG'!E:E,MATCH(C51,'02_TASK_CATALOG'!A:A,0)))</f>
        <v/>
      </c>
      <c r="E51">
        <f>IF(C51="","",INDEX('02_TASK_CATALOG'!F:F,MATCH(C51,'02_TASK_CATALOG'!A:A,0)))</f>
        <v>0</v>
      </c>
      <c r="F51">
        <f>IF(C51="","",INDEX('02_TASK_CATALOG'!G:G,MATCH(C51,'02_TASK_CATALOG'!A:A,0)))</f>
        <v>0</v>
      </c>
      <c r="G51">
        <f>IF(C51="","",INDEX('02_TASK_CATALOG'!H:H,MATCH(C51,'02_TASK_CATALOG'!A:A,0)))</f>
        <v>0</v>
      </c>
      <c r="H51">
        <f>IF(A51="","",MAX(0,E51-F51-G51))</f>
        <v>0</v>
      </c>
      <c r="I51">
        <f>IF(A51="","",H51*IF('03_EXECUTION_LOG'!H51="",1,'03_EXECUTION_LOG'!H51)/60)</f>
        <v>0</v>
      </c>
      <c r="J51">
        <f>IF(D51="","",INDEX('01_ASSUMPTIONS'!C:C,MATCH(D51,'01_ASSUMPTIONS'!A:A,0)))</f>
        <v>0</v>
      </c>
      <c r="K51">
        <f>IF(OR(A51="",L51&lt;&gt;TRUE),0,I51*J51)</f>
        <v>0</v>
      </c>
      <c r="L51" t="b">
        <f>IF(A51="","",AND('03_EXECUTION_LOG'!F51="success",INDEX('02_TASK_CATALOG'!J:J,MATCH(C51,'02_TASK_CATALOG'!A:A,0))=TRUE,H51&gt;0,J51&gt;0,'03_EXECUTION_LOG'!J51&lt;&gt;""))</f>
        <v>0</v>
      </c>
      <c r="M51" t="str">
        <f>IF(A51="","",IF('03_EXECUTION_LOG'!F51&lt;&gt;"success","non-success status",IF(INDEX('02_TASK_CATALOG'!J:J,MATCH(C51,'02_TASK_CATALOG'!A:A,0))&lt;&gt;TRUE,"task not approved",IF(H51&lt;=0,"no net time saved",IF(J51&lt;=0,"missing labor rate",IF('03_EXECUTION_LOG'!J51="","missing evidence",""))))))</f>
        <v/>
      </c>
      <c r="N51" t="str">
        <f>IF(A51="","",IF(AND(L51=TRUE,'03_EXECUTION_LOG'!I51=FALSE),"high",IF(AND(L51=TRUE,'03_EXECUTION_LOG'!I51=TRUE),"medium","low")))</f>
        <v/>
      </c>
      <c r="O51" t="str">
        <f>IF(A51="","",IF(AND(L51=TRUE,'03_EXECUTION_LOG'!J51&lt;&gt;""),"yes","needs-review"))</f>
        <v/>
      </c>
    </row>
    <row r="52">
      <c r="A52" t="str">
        <f>IF('03_EXECUTION_LOG'!A52="","",'03_EXECUTION_LOG'!A52)</f>
        <v/>
      </c>
      <c r="B52" t="str">
        <f>IF('03_EXECUTION_LOG'!B52="","",LEFT('03_EXECUTION_LOG'!B52,7))</f>
        <v/>
      </c>
      <c r="C52" t="str">
        <f>IF('03_EXECUTION_LOG'!E52="","",'03_EXECUTION_LOG'!E52)</f>
        <v/>
      </c>
      <c r="D52" t="str">
        <f>IF(C52="","",INDEX('02_TASK_CATALOG'!E:E,MATCH(C52,'02_TASK_CATALOG'!A:A,0)))</f>
        <v/>
      </c>
      <c r="E52">
        <f>IF(C52="","",INDEX('02_TASK_CATALOG'!F:F,MATCH(C52,'02_TASK_CATALOG'!A:A,0)))</f>
        <v>0</v>
      </c>
      <c r="F52">
        <f>IF(C52="","",INDEX('02_TASK_CATALOG'!G:G,MATCH(C52,'02_TASK_CATALOG'!A:A,0)))</f>
        <v>0</v>
      </c>
      <c r="G52">
        <f>IF(C52="","",INDEX('02_TASK_CATALOG'!H:H,MATCH(C52,'02_TASK_CATALOG'!A:A,0)))</f>
        <v>0</v>
      </c>
      <c r="H52">
        <f>IF(A52="","",MAX(0,E52-F52-G52))</f>
        <v>0</v>
      </c>
      <c r="I52">
        <f>IF(A52="","",H52*IF('03_EXECUTION_LOG'!H52="",1,'03_EXECUTION_LOG'!H52)/60)</f>
        <v>0</v>
      </c>
      <c r="J52">
        <f>IF(D52="","",INDEX('01_ASSUMPTIONS'!C:C,MATCH(D52,'01_ASSUMPTIONS'!A:A,0)))</f>
        <v>0</v>
      </c>
      <c r="K52">
        <f>IF(OR(A52="",L52&lt;&gt;TRUE),0,I52*J52)</f>
        <v>0</v>
      </c>
      <c r="L52" t="b">
        <f>IF(A52="","",AND('03_EXECUTION_LOG'!F52="success",INDEX('02_TASK_CATALOG'!J:J,MATCH(C52,'02_TASK_CATALOG'!A:A,0))=TRUE,H52&gt;0,J52&gt;0,'03_EXECUTION_LOG'!J52&lt;&gt;""))</f>
        <v>0</v>
      </c>
      <c r="M52" t="str">
        <f>IF(A52="","",IF('03_EXECUTION_LOG'!F52&lt;&gt;"success","non-success status",IF(INDEX('02_TASK_CATALOG'!J:J,MATCH(C52,'02_TASK_CATALOG'!A:A,0))&lt;&gt;TRUE,"task not approved",IF(H52&lt;=0,"no net time saved",IF(J52&lt;=0,"missing labor rate",IF('03_EXECUTION_LOG'!J52="","missing evidence",""))))))</f>
        <v/>
      </c>
      <c r="N52" t="str">
        <f>IF(A52="","",IF(AND(L52=TRUE,'03_EXECUTION_LOG'!I52=FALSE),"high",IF(AND(L52=TRUE,'03_EXECUTION_LOG'!I52=TRUE),"medium","low")))</f>
        <v/>
      </c>
      <c r="O52" t="str">
        <f>IF(A52="","",IF(AND(L52=TRUE,'03_EXECUTION_LOG'!J52&lt;&gt;""),"yes","needs-review"))</f>
        <v/>
      </c>
    </row>
    <row r="53">
      <c r="A53" t="str">
        <f>IF('03_EXECUTION_LOG'!A53="","",'03_EXECUTION_LOG'!A53)</f>
        <v/>
      </c>
      <c r="B53" t="str">
        <f>IF('03_EXECUTION_LOG'!B53="","",LEFT('03_EXECUTION_LOG'!B53,7))</f>
        <v/>
      </c>
      <c r="C53" t="str">
        <f>IF('03_EXECUTION_LOG'!E53="","",'03_EXECUTION_LOG'!E53)</f>
        <v/>
      </c>
      <c r="D53" t="str">
        <f>IF(C53="","",INDEX('02_TASK_CATALOG'!E:E,MATCH(C53,'02_TASK_CATALOG'!A:A,0)))</f>
        <v/>
      </c>
      <c r="E53">
        <f>IF(C53="","",INDEX('02_TASK_CATALOG'!F:F,MATCH(C53,'02_TASK_CATALOG'!A:A,0)))</f>
        <v>0</v>
      </c>
      <c r="F53">
        <f>IF(C53="","",INDEX('02_TASK_CATALOG'!G:G,MATCH(C53,'02_TASK_CATALOG'!A:A,0)))</f>
        <v>0</v>
      </c>
      <c r="G53">
        <f>IF(C53="","",INDEX('02_TASK_CATALOG'!H:H,MATCH(C53,'02_TASK_CATALOG'!A:A,0)))</f>
        <v>0</v>
      </c>
      <c r="H53">
        <f>IF(A53="","",MAX(0,E53-F53-G53))</f>
        <v>0</v>
      </c>
      <c r="I53">
        <f>IF(A53="","",H53*IF('03_EXECUTION_LOG'!H53="",1,'03_EXECUTION_LOG'!H53)/60)</f>
        <v>0</v>
      </c>
      <c r="J53">
        <f>IF(D53="","",INDEX('01_ASSUMPTIONS'!C:C,MATCH(D53,'01_ASSUMPTIONS'!A:A,0)))</f>
        <v>0</v>
      </c>
      <c r="K53">
        <f>IF(OR(A53="",L53&lt;&gt;TRUE),0,I53*J53)</f>
        <v>0</v>
      </c>
      <c r="L53" t="b">
        <f>IF(A53="","",AND('03_EXECUTION_LOG'!F53="success",INDEX('02_TASK_CATALOG'!J:J,MATCH(C53,'02_TASK_CATALOG'!A:A,0))=TRUE,H53&gt;0,J53&gt;0,'03_EXECUTION_LOG'!J53&lt;&gt;""))</f>
        <v>0</v>
      </c>
      <c r="M53" t="str">
        <f>IF(A53="","",IF('03_EXECUTION_LOG'!F53&lt;&gt;"success","non-success status",IF(INDEX('02_TASK_CATALOG'!J:J,MATCH(C53,'02_TASK_CATALOG'!A:A,0))&lt;&gt;TRUE,"task not approved",IF(H53&lt;=0,"no net time saved",IF(J53&lt;=0,"missing labor rate",IF('03_EXECUTION_LOG'!J53="","missing evidence",""))))))</f>
        <v/>
      </c>
      <c r="N53" t="str">
        <f>IF(A53="","",IF(AND(L53=TRUE,'03_EXECUTION_LOG'!I53=FALSE),"high",IF(AND(L53=TRUE,'03_EXECUTION_LOG'!I53=TRUE),"medium","low")))</f>
        <v/>
      </c>
      <c r="O53" t="str">
        <f>IF(A53="","",IF(AND(L53=TRUE,'03_EXECUTION_LOG'!J53&lt;&gt;""),"yes","needs-review"))</f>
        <v/>
      </c>
    </row>
    <row r="54">
      <c r="A54" t="str">
        <f>IF('03_EXECUTION_LOG'!A54="","",'03_EXECUTION_LOG'!A54)</f>
        <v/>
      </c>
      <c r="B54" t="str">
        <f>IF('03_EXECUTION_LOG'!B54="","",LEFT('03_EXECUTION_LOG'!B54,7))</f>
        <v/>
      </c>
      <c r="C54" t="str">
        <f>IF('03_EXECUTION_LOG'!E54="","",'03_EXECUTION_LOG'!E54)</f>
        <v/>
      </c>
      <c r="D54" t="str">
        <f>IF(C54="","",INDEX('02_TASK_CATALOG'!E:E,MATCH(C54,'02_TASK_CATALOG'!A:A,0)))</f>
        <v/>
      </c>
      <c r="E54">
        <f>IF(C54="","",INDEX('02_TASK_CATALOG'!F:F,MATCH(C54,'02_TASK_CATALOG'!A:A,0)))</f>
        <v>0</v>
      </c>
      <c r="F54">
        <f>IF(C54="","",INDEX('02_TASK_CATALOG'!G:G,MATCH(C54,'02_TASK_CATALOG'!A:A,0)))</f>
        <v>0</v>
      </c>
      <c r="G54">
        <f>IF(C54="","",INDEX('02_TASK_CATALOG'!H:H,MATCH(C54,'02_TASK_CATALOG'!A:A,0)))</f>
        <v>0</v>
      </c>
      <c r="H54">
        <f>IF(A54="","",MAX(0,E54-F54-G54))</f>
        <v>0</v>
      </c>
      <c r="I54">
        <f>IF(A54="","",H54*IF('03_EXECUTION_LOG'!H54="",1,'03_EXECUTION_LOG'!H54)/60)</f>
        <v>0</v>
      </c>
      <c r="J54">
        <f>IF(D54="","",INDEX('01_ASSUMPTIONS'!C:C,MATCH(D54,'01_ASSUMPTIONS'!A:A,0)))</f>
        <v>0</v>
      </c>
      <c r="K54">
        <f>IF(OR(A54="",L54&lt;&gt;TRUE),0,I54*J54)</f>
        <v>0</v>
      </c>
      <c r="L54" t="b">
        <f>IF(A54="","",AND('03_EXECUTION_LOG'!F54="success",INDEX('02_TASK_CATALOG'!J:J,MATCH(C54,'02_TASK_CATALOG'!A:A,0))=TRUE,H54&gt;0,J54&gt;0,'03_EXECUTION_LOG'!J54&lt;&gt;""))</f>
        <v>0</v>
      </c>
      <c r="M54" t="str">
        <f>IF(A54="","",IF('03_EXECUTION_LOG'!F54&lt;&gt;"success","non-success status",IF(INDEX('02_TASK_CATALOG'!J:J,MATCH(C54,'02_TASK_CATALOG'!A:A,0))&lt;&gt;TRUE,"task not approved",IF(H54&lt;=0,"no net time saved",IF(J54&lt;=0,"missing labor rate",IF('03_EXECUTION_LOG'!J54="","missing evidence",""))))))</f>
        <v/>
      </c>
      <c r="N54" t="str">
        <f>IF(A54="","",IF(AND(L54=TRUE,'03_EXECUTION_LOG'!I54=FALSE),"high",IF(AND(L54=TRUE,'03_EXECUTION_LOG'!I54=TRUE),"medium","low")))</f>
        <v/>
      </c>
      <c r="O54" t="str">
        <f>IF(A54="","",IF(AND(L54=TRUE,'03_EXECUTION_LOG'!J54&lt;&gt;""),"yes","needs-review"))</f>
        <v/>
      </c>
    </row>
    <row r="55">
      <c r="A55" t="str">
        <f>IF('03_EXECUTION_LOG'!A55="","",'03_EXECUTION_LOG'!A55)</f>
        <v/>
      </c>
      <c r="B55" t="str">
        <f>IF('03_EXECUTION_LOG'!B55="","",LEFT('03_EXECUTION_LOG'!B55,7))</f>
        <v/>
      </c>
      <c r="C55" t="str">
        <f>IF('03_EXECUTION_LOG'!E55="","",'03_EXECUTION_LOG'!E55)</f>
        <v/>
      </c>
      <c r="D55" t="str">
        <f>IF(C55="","",INDEX('02_TASK_CATALOG'!E:E,MATCH(C55,'02_TASK_CATALOG'!A:A,0)))</f>
        <v/>
      </c>
      <c r="E55">
        <f>IF(C55="","",INDEX('02_TASK_CATALOG'!F:F,MATCH(C55,'02_TASK_CATALOG'!A:A,0)))</f>
        <v>0</v>
      </c>
      <c r="F55">
        <f>IF(C55="","",INDEX('02_TASK_CATALOG'!G:G,MATCH(C55,'02_TASK_CATALOG'!A:A,0)))</f>
        <v>0</v>
      </c>
      <c r="G55">
        <f>IF(C55="","",INDEX('02_TASK_CATALOG'!H:H,MATCH(C55,'02_TASK_CATALOG'!A:A,0)))</f>
        <v>0</v>
      </c>
      <c r="H55">
        <f>IF(A55="","",MAX(0,E55-F55-G55))</f>
        <v>0</v>
      </c>
      <c r="I55">
        <f>IF(A55="","",H55*IF('03_EXECUTION_LOG'!H55="",1,'03_EXECUTION_LOG'!H55)/60)</f>
        <v>0</v>
      </c>
      <c r="J55">
        <f>IF(D55="","",INDEX('01_ASSUMPTIONS'!C:C,MATCH(D55,'01_ASSUMPTIONS'!A:A,0)))</f>
        <v>0</v>
      </c>
      <c r="K55">
        <f>IF(OR(A55="",L55&lt;&gt;TRUE),0,I55*J55)</f>
        <v>0</v>
      </c>
      <c r="L55" t="b">
        <f>IF(A55="","",AND('03_EXECUTION_LOG'!F55="success",INDEX('02_TASK_CATALOG'!J:J,MATCH(C55,'02_TASK_CATALOG'!A:A,0))=TRUE,H55&gt;0,J55&gt;0,'03_EXECUTION_LOG'!J55&lt;&gt;""))</f>
        <v>0</v>
      </c>
      <c r="M55" t="str">
        <f>IF(A55="","",IF('03_EXECUTION_LOG'!F55&lt;&gt;"success","non-success status",IF(INDEX('02_TASK_CATALOG'!J:J,MATCH(C55,'02_TASK_CATALOG'!A:A,0))&lt;&gt;TRUE,"task not approved",IF(H55&lt;=0,"no net time saved",IF(J55&lt;=0,"missing labor rate",IF('03_EXECUTION_LOG'!J55="","missing evidence",""))))))</f>
        <v/>
      </c>
      <c r="N55" t="str">
        <f>IF(A55="","",IF(AND(L55=TRUE,'03_EXECUTION_LOG'!I55=FALSE),"high",IF(AND(L55=TRUE,'03_EXECUTION_LOG'!I55=TRUE),"medium","low")))</f>
        <v/>
      </c>
      <c r="O55" t="str">
        <f>IF(A55="","",IF(AND(L55=TRUE,'03_EXECUTION_LOG'!J55&lt;&gt;""),"yes","needs-review"))</f>
        <v/>
      </c>
    </row>
    <row r="56">
      <c r="A56" t="str">
        <f>IF('03_EXECUTION_LOG'!A56="","",'03_EXECUTION_LOG'!A56)</f>
        <v/>
      </c>
      <c r="B56" t="str">
        <f>IF('03_EXECUTION_LOG'!B56="","",LEFT('03_EXECUTION_LOG'!B56,7))</f>
        <v/>
      </c>
      <c r="C56" t="str">
        <f>IF('03_EXECUTION_LOG'!E56="","",'03_EXECUTION_LOG'!E56)</f>
        <v/>
      </c>
      <c r="D56" t="str">
        <f>IF(C56="","",INDEX('02_TASK_CATALOG'!E:E,MATCH(C56,'02_TASK_CATALOG'!A:A,0)))</f>
        <v/>
      </c>
      <c r="E56">
        <f>IF(C56="","",INDEX('02_TASK_CATALOG'!F:F,MATCH(C56,'02_TASK_CATALOG'!A:A,0)))</f>
        <v>0</v>
      </c>
      <c r="F56">
        <f>IF(C56="","",INDEX('02_TASK_CATALOG'!G:G,MATCH(C56,'02_TASK_CATALOG'!A:A,0)))</f>
        <v>0</v>
      </c>
      <c r="G56">
        <f>IF(C56="","",INDEX('02_TASK_CATALOG'!H:H,MATCH(C56,'02_TASK_CATALOG'!A:A,0)))</f>
        <v>0</v>
      </c>
      <c r="H56">
        <f>IF(A56="","",MAX(0,E56-F56-G56))</f>
        <v>0</v>
      </c>
      <c r="I56">
        <f>IF(A56="","",H56*IF('03_EXECUTION_LOG'!H56="",1,'03_EXECUTION_LOG'!H56)/60)</f>
        <v>0</v>
      </c>
      <c r="J56">
        <f>IF(D56="","",INDEX('01_ASSUMPTIONS'!C:C,MATCH(D56,'01_ASSUMPTIONS'!A:A,0)))</f>
        <v>0</v>
      </c>
      <c r="K56">
        <f>IF(OR(A56="",L56&lt;&gt;TRUE),0,I56*J56)</f>
        <v>0</v>
      </c>
      <c r="L56" t="b">
        <f>IF(A56="","",AND('03_EXECUTION_LOG'!F56="success",INDEX('02_TASK_CATALOG'!J:J,MATCH(C56,'02_TASK_CATALOG'!A:A,0))=TRUE,H56&gt;0,J56&gt;0,'03_EXECUTION_LOG'!J56&lt;&gt;""))</f>
        <v>0</v>
      </c>
      <c r="M56" t="str">
        <f>IF(A56="","",IF('03_EXECUTION_LOG'!F56&lt;&gt;"success","non-success status",IF(INDEX('02_TASK_CATALOG'!J:J,MATCH(C56,'02_TASK_CATALOG'!A:A,0))&lt;&gt;TRUE,"task not approved",IF(H56&lt;=0,"no net time saved",IF(J56&lt;=0,"missing labor rate",IF('03_EXECUTION_LOG'!J56="","missing evidence",""))))))</f>
        <v/>
      </c>
      <c r="N56" t="str">
        <f>IF(A56="","",IF(AND(L56=TRUE,'03_EXECUTION_LOG'!I56=FALSE),"high",IF(AND(L56=TRUE,'03_EXECUTION_LOG'!I56=TRUE),"medium","low")))</f>
        <v/>
      </c>
      <c r="O56" t="str">
        <f>IF(A56="","",IF(AND(L56=TRUE,'03_EXECUTION_LOG'!J56&lt;&gt;""),"yes","needs-review"))</f>
        <v/>
      </c>
    </row>
    <row r="57">
      <c r="A57" t="str">
        <f>IF('03_EXECUTION_LOG'!A57="","",'03_EXECUTION_LOG'!A57)</f>
        <v/>
      </c>
      <c r="B57" t="str">
        <f>IF('03_EXECUTION_LOG'!B57="","",LEFT('03_EXECUTION_LOG'!B57,7))</f>
        <v/>
      </c>
      <c r="C57" t="str">
        <f>IF('03_EXECUTION_LOG'!E57="","",'03_EXECUTION_LOG'!E57)</f>
        <v/>
      </c>
      <c r="D57" t="str">
        <f>IF(C57="","",INDEX('02_TASK_CATALOG'!E:E,MATCH(C57,'02_TASK_CATALOG'!A:A,0)))</f>
        <v/>
      </c>
      <c r="E57">
        <f>IF(C57="","",INDEX('02_TASK_CATALOG'!F:F,MATCH(C57,'02_TASK_CATALOG'!A:A,0)))</f>
        <v>0</v>
      </c>
      <c r="F57">
        <f>IF(C57="","",INDEX('02_TASK_CATALOG'!G:G,MATCH(C57,'02_TASK_CATALOG'!A:A,0)))</f>
        <v>0</v>
      </c>
      <c r="G57">
        <f>IF(C57="","",INDEX('02_TASK_CATALOG'!H:H,MATCH(C57,'02_TASK_CATALOG'!A:A,0)))</f>
        <v>0</v>
      </c>
      <c r="H57">
        <f>IF(A57="","",MAX(0,E57-F57-G57))</f>
        <v>0</v>
      </c>
      <c r="I57">
        <f>IF(A57="","",H57*IF('03_EXECUTION_LOG'!H57="",1,'03_EXECUTION_LOG'!H57)/60)</f>
        <v>0</v>
      </c>
      <c r="J57">
        <f>IF(D57="","",INDEX('01_ASSUMPTIONS'!C:C,MATCH(D57,'01_ASSUMPTIONS'!A:A,0)))</f>
        <v>0</v>
      </c>
      <c r="K57">
        <f>IF(OR(A57="",L57&lt;&gt;TRUE),0,I57*J57)</f>
        <v>0</v>
      </c>
      <c r="L57" t="b">
        <f>IF(A57="","",AND('03_EXECUTION_LOG'!F57="success",INDEX('02_TASK_CATALOG'!J:J,MATCH(C57,'02_TASK_CATALOG'!A:A,0))=TRUE,H57&gt;0,J57&gt;0,'03_EXECUTION_LOG'!J57&lt;&gt;""))</f>
        <v>0</v>
      </c>
      <c r="M57" t="str">
        <f>IF(A57="","",IF('03_EXECUTION_LOG'!F57&lt;&gt;"success","non-success status",IF(INDEX('02_TASK_CATALOG'!J:J,MATCH(C57,'02_TASK_CATALOG'!A:A,0))&lt;&gt;TRUE,"task not approved",IF(H57&lt;=0,"no net time saved",IF(J57&lt;=0,"missing labor rate",IF('03_EXECUTION_LOG'!J57="","missing evidence",""))))))</f>
        <v/>
      </c>
      <c r="N57" t="str">
        <f>IF(A57="","",IF(AND(L57=TRUE,'03_EXECUTION_LOG'!I57=FALSE),"high",IF(AND(L57=TRUE,'03_EXECUTION_LOG'!I57=TRUE),"medium","low")))</f>
        <v/>
      </c>
      <c r="O57" t="str">
        <f>IF(A57="","",IF(AND(L57=TRUE,'03_EXECUTION_LOG'!J57&lt;&gt;""),"yes","needs-review"))</f>
        <v/>
      </c>
    </row>
    <row r="58">
      <c r="A58" t="str">
        <f>IF('03_EXECUTION_LOG'!A58="","",'03_EXECUTION_LOG'!A58)</f>
        <v/>
      </c>
      <c r="B58" t="str">
        <f>IF('03_EXECUTION_LOG'!B58="","",LEFT('03_EXECUTION_LOG'!B58,7))</f>
        <v/>
      </c>
      <c r="C58" t="str">
        <f>IF('03_EXECUTION_LOG'!E58="","",'03_EXECUTION_LOG'!E58)</f>
        <v/>
      </c>
      <c r="D58" t="str">
        <f>IF(C58="","",INDEX('02_TASK_CATALOG'!E:E,MATCH(C58,'02_TASK_CATALOG'!A:A,0)))</f>
        <v/>
      </c>
      <c r="E58">
        <f>IF(C58="","",INDEX('02_TASK_CATALOG'!F:F,MATCH(C58,'02_TASK_CATALOG'!A:A,0)))</f>
        <v>0</v>
      </c>
      <c r="F58">
        <f>IF(C58="","",INDEX('02_TASK_CATALOG'!G:G,MATCH(C58,'02_TASK_CATALOG'!A:A,0)))</f>
        <v>0</v>
      </c>
      <c r="G58">
        <f>IF(C58="","",INDEX('02_TASK_CATALOG'!H:H,MATCH(C58,'02_TASK_CATALOG'!A:A,0)))</f>
        <v>0</v>
      </c>
      <c r="H58">
        <f>IF(A58="","",MAX(0,E58-F58-G58))</f>
        <v>0</v>
      </c>
      <c r="I58">
        <f>IF(A58="","",H58*IF('03_EXECUTION_LOG'!H58="",1,'03_EXECUTION_LOG'!H58)/60)</f>
        <v>0</v>
      </c>
      <c r="J58">
        <f>IF(D58="","",INDEX('01_ASSUMPTIONS'!C:C,MATCH(D58,'01_ASSUMPTIONS'!A:A,0)))</f>
        <v>0</v>
      </c>
      <c r="K58">
        <f>IF(OR(A58="",L58&lt;&gt;TRUE),0,I58*J58)</f>
        <v>0</v>
      </c>
      <c r="L58" t="b">
        <f>IF(A58="","",AND('03_EXECUTION_LOG'!F58="success",INDEX('02_TASK_CATALOG'!J:J,MATCH(C58,'02_TASK_CATALOG'!A:A,0))=TRUE,H58&gt;0,J58&gt;0,'03_EXECUTION_LOG'!J58&lt;&gt;""))</f>
        <v>0</v>
      </c>
      <c r="M58" t="str">
        <f>IF(A58="","",IF('03_EXECUTION_LOG'!F58&lt;&gt;"success","non-success status",IF(INDEX('02_TASK_CATALOG'!J:J,MATCH(C58,'02_TASK_CATALOG'!A:A,0))&lt;&gt;TRUE,"task not approved",IF(H58&lt;=0,"no net time saved",IF(J58&lt;=0,"missing labor rate",IF('03_EXECUTION_LOG'!J58="","missing evidence",""))))))</f>
        <v/>
      </c>
      <c r="N58" t="str">
        <f>IF(A58="","",IF(AND(L58=TRUE,'03_EXECUTION_LOG'!I58=FALSE),"high",IF(AND(L58=TRUE,'03_EXECUTION_LOG'!I58=TRUE),"medium","low")))</f>
        <v/>
      </c>
      <c r="O58" t="str">
        <f>IF(A58="","",IF(AND(L58=TRUE,'03_EXECUTION_LOG'!J58&lt;&gt;""),"yes","needs-review"))</f>
        <v/>
      </c>
    </row>
    <row r="59">
      <c r="A59" t="str">
        <f>IF('03_EXECUTION_LOG'!A59="","",'03_EXECUTION_LOG'!A59)</f>
        <v/>
      </c>
      <c r="B59" t="str">
        <f>IF('03_EXECUTION_LOG'!B59="","",LEFT('03_EXECUTION_LOG'!B59,7))</f>
        <v/>
      </c>
      <c r="C59" t="str">
        <f>IF('03_EXECUTION_LOG'!E59="","",'03_EXECUTION_LOG'!E59)</f>
        <v/>
      </c>
      <c r="D59" t="str">
        <f>IF(C59="","",INDEX('02_TASK_CATALOG'!E:E,MATCH(C59,'02_TASK_CATALOG'!A:A,0)))</f>
        <v/>
      </c>
      <c r="E59">
        <f>IF(C59="","",INDEX('02_TASK_CATALOG'!F:F,MATCH(C59,'02_TASK_CATALOG'!A:A,0)))</f>
        <v>0</v>
      </c>
      <c r="F59">
        <f>IF(C59="","",INDEX('02_TASK_CATALOG'!G:G,MATCH(C59,'02_TASK_CATALOG'!A:A,0)))</f>
        <v>0</v>
      </c>
      <c r="G59">
        <f>IF(C59="","",INDEX('02_TASK_CATALOG'!H:H,MATCH(C59,'02_TASK_CATALOG'!A:A,0)))</f>
        <v>0</v>
      </c>
      <c r="H59">
        <f>IF(A59="","",MAX(0,E59-F59-G59))</f>
        <v>0</v>
      </c>
      <c r="I59">
        <f>IF(A59="","",H59*IF('03_EXECUTION_LOG'!H59="",1,'03_EXECUTION_LOG'!H59)/60)</f>
        <v>0</v>
      </c>
      <c r="J59">
        <f>IF(D59="","",INDEX('01_ASSUMPTIONS'!C:C,MATCH(D59,'01_ASSUMPTIONS'!A:A,0)))</f>
        <v>0</v>
      </c>
      <c r="K59">
        <f>IF(OR(A59="",L59&lt;&gt;TRUE),0,I59*J59)</f>
        <v>0</v>
      </c>
      <c r="L59" t="b">
        <f>IF(A59="","",AND('03_EXECUTION_LOG'!F59="success",INDEX('02_TASK_CATALOG'!J:J,MATCH(C59,'02_TASK_CATALOG'!A:A,0))=TRUE,H59&gt;0,J59&gt;0,'03_EXECUTION_LOG'!J59&lt;&gt;""))</f>
        <v>0</v>
      </c>
      <c r="M59" t="str">
        <f>IF(A59="","",IF('03_EXECUTION_LOG'!F59&lt;&gt;"success","non-success status",IF(INDEX('02_TASK_CATALOG'!J:J,MATCH(C59,'02_TASK_CATALOG'!A:A,0))&lt;&gt;TRUE,"task not approved",IF(H59&lt;=0,"no net time saved",IF(J59&lt;=0,"missing labor rate",IF('03_EXECUTION_LOG'!J59="","missing evidence",""))))))</f>
        <v/>
      </c>
      <c r="N59" t="str">
        <f>IF(A59="","",IF(AND(L59=TRUE,'03_EXECUTION_LOG'!I59=FALSE),"high",IF(AND(L59=TRUE,'03_EXECUTION_LOG'!I59=TRUE),"medium","low")))</f>
        <v/>
      </c>
      <c r="O59" t="str">
        <f>IF(A59="","",IF(AND(L59=TRUE,'03_EXECUTION_LOG'!J59&lt;&gt;""),"yes","needs-review"))</f>
        <v/>
      </c>
    </row>
    <row r="60">
      <c r="A60" t="str">
        <f>IF('03_EXECUTION_LOG'!A60="","",'03_EXECUTION_LOG'!A60)</f>
        <v/>
      </c>
      <c r="B60" t="str">
        <f>IF('03_EXECUTION_LOG'!B60="","",LEFT('03_EXECUTION_LOG'!B60,7))</f>
        <v/>
      </c>
      <c r="C60" t="str">
        <f>IF('03_EXECUTION_LOG'!E60="","",'03_EXECUTION_LOG'!E60)</f>
        <v/>
      </c>
      <c r="D60" t="str">
        <f>IF(C60="","",INDEX('02_TASK_CATALOG'!E:E,MATCH(C60,'02_TASK_CATALOG'!A:A,0)))</f>
        <v/>
      </c>
      <c r="E60">
        <f>IF(C60="","",INDEX('02_TASK_CATALOG'!F:F,MATCH(C60,'02_TASK_CATALOG'!A:A,0)))</f>
        <v>0</v>
      </c>
      <c r="F60">
        <f>IF(C60="","",INDEX('02_TASK_CATALOG'!G:G,MATCH(C60,'02_TASK_CATALOG'!A:A,0)))</f>
        <v>0</v>
      </c>
      <c r="G60">
        <f>IF(C60="","",INDEX('02_TASK_CATALOG'!H:H,MATCH(C60,'02_TASK_CATALOG'!A:A,0)))</f>
        <v>0</v>
      </c>
      <c r="H60">
        <f>IF(A60="","",MAX(0,E60-F60-G60))</f>
        <v>0</v>
      </c>
      <c r="I60">
        <f>IF(A60="","",H60*IF('03_EXECUTION_LOG'!H60="",1,'03_EXECUTION_LOG'!H60)/60)</f>
        <v>0</v>
      </c>
      <c r="J60">
        <f>IF(D60="","",INDEX('01_ASSUMPTIONS'!C:C,MATCH(D60,'01_ASSUMPTIONS'!A:A,0)))</f>
        <v>0</v>
      </c>
      <c r="K60">
        <f>IF(OR(A60="",L60&lt;&gt;TRUE),0,I60*J60)</f>
        <v>0</v>
      </c>
      <c r="L60" t="b">
        <f>IF(A60="","",AND('03_EXECUTION_LOG'!F60="success",INDEX('02_TASK_CATALOG'!J:J,MATCH(C60,'02_TASK_CATALOG'!A:A,0))=TRUE,H60&gt;0,J60&gt;0,'03_EXECUTION_LOG'!J60&lt;&gt;""))</f>
        <v>0</v>
      </c>
      <c r="M60" t="str">
        <f>IF(A60="","",IF('03_EXECUTION_LOG'!F60&lt;&gt;"success","non-success status",IF(INDEX('02_TASK_CATALOG'!J:J,MATCH(C60,'02_TASK_CATALOG'!A:A,0))&lt;&gt;TRUE,"task not approved",IF(H60&lt;=0,"no net time saved",IF(J60&lt;=0,"missing labor rate",IF('03_EXECUTION_LOG'!J60="","missing evidence",""))))))</f>
        <v/>
      </c>
      <c r="N60" t="str">
        <f>IF(A60="","",IF(AND(L60=TRUE,'03_EXECUTION_LOG'!I60=FALSE),"high",IF(AND(L60=TRUE,'03_EXECUTION_LOG'!I60=TRUE),"medium","low")))</f>
        <v/>
      </c>
      <c r="O60" t="str">
        <f>IF(A60="","",IF(AND(L60=TRUE,'03_EXECUTION_LOG'!J60&lt;&gt;""),"yes","needs-review"))</f>
        <v/>
      </c>
    </row>
    <row r="61">
      <c r="A61" t="str">
        <f>IF('03_EXECUTION_LOG'!A61="","",'03_EXECUTION_LOG'!A61)</f>
        <v/>
      </c>
      <c r="B61" t="str">
        <f>IF('03_EXECUTION_LOG'!B61="","",LEFT('03_EXECUTION_LOG'!B61,7))</f>
        <v/>
      </c>
      <c r="C61" t="str">
        <f>IF('03_EXECUTION_LOG'!E61="","",'03_EXECUTION_LOG'!E61)</f>
        <v/>
      </c>
      <c r="D61" t="str">
        <f>IF(C61="","",INDEX('02_TASK_CATALOG'!E:E,MATCH(C61,'02_TASK_CATALOG'!A:A,0)))</f>
        <v/>
      </c>
      <c r="E61">
        <f>IF(C61="","",INDEX('02_TASK_CATALOG'!F:F,MATCH(C61,'02_TASK_CATALOG'!A:A,0)))</f>
        <v>0</v>
      </c>
      <c r="F61">
        <f>IF(C61="","",INDEX('02_TASK_CATALOG'!G:G,MATCH(C61,'02_TASK_CATALOG'!A:A,0)))</f>
        <v>0</v>
      </c>
      <c r="G61">
        <f>IF(C61="","",INDEX('02_TASK_CATALOG'!H:H,MATCH(C61,'02_TASK_CATALOG'!A:A,0)))</f>
        <v>0</v>
      </c>
      <c r="H61">
        <f>IF(A61="","",MAX(0,E61-F61-G61))</f>
        <v>0</v>
      </c>
      <c r="I61">
        <f>IF(A61="","",H61*IF('03_EXECUTION_LOG'!H61="",1,'03_EXECUTION_LOG'!H61)/60)</f>
        <v>0</v>
      </c>
      <c r="J61">
        <f>IF(D61="","",INDEX('01_ASSUMPTIONS'!C:C,MATCH(D61,'01_ASSUMPTIONS'!A:A,0)))</f>
        <v>0</v>
      </c>
      <c r="K61">
        <f>IF(OR(A61="",L61&lt;&gt;TRUE),0,I61*J61)</f>
        <v>0</v>
      </c>
      <c r="L61" t="b">
        <f>IF(A61="","",AND('03_EXECUTION_LOG'!F61="success",INDEX('02_TASK_CATALOG'!J:J,MATCH(C61,'02_TASK_CATALOG'!A:A,0))=TRUE,H61&gt;0,J61&gt;0,'03_EXECUTION_LOG'!J61&lt;&gt;""))</f>
        <v>0</v>
      </c>
      <c r="M61" t="str">
        <f>IF(A61="","",IF('03_EXECUTION_LOG'!F61&lt;&gt;"success","non-success status",IF(INDEX('02_TASK_CATALOG'!J:J,MATCH(C61,'02_TASK_CATALOG'!A:A,0))&lt;&gt;TRUE,"task not approved",IF(H61&lt;=0,"no net time saved",IF(J61&lt;=0,"missing labor rate",IF('03_EXECUTION_LOG'!J61="","missing evidence",""))))))</f>
        <v/>
      </c>
      <c r="N61" t="str">
        <f>IF(A61="","",IF(AND(L61=TRUE,'03_EXECUTION_LOG'!I61=FALSE),"high",IF(AND(L61=TRUE,'03_EXECUTION_LOG'!I61=TRUE),"medium","low")))</f>
        <v/>
      </c>
      <c r="O61" t="str">
        <f>IF(A61="","",IF(AND(L61=TRUE,'03_EXECUTION_LOG'!J61&lt;&gt;""),"yes","needs-review"))</f>
        <v/>
      </c>
    </row>
    <row r="62">
      <c r="A62" t="str">
        <f>IF('03_EXECUTION_LOG'!A62="","",'03_EXECUTION_LOG'!A62)</f>
        <v/>
      </c>
      <c r="B62" t="str">
        <f>IF('03_EXECUTION_LOG'!B62="","",LEFT('03_EXECUTION_LOG'!B62,7))</f>
        <v/>
      </c>
      <c r="C62" t="str">
        <f>IF('03_EXECUTION_LOG'!E62="","",'03_EXECUTION_LOG'!E62)</f>
        <v/>
      </c>
      <c r="D62" t="str">
        <f>IF(C62="","",INDEX('02_TASK_CATALOG'!E:E,MATCH(C62,'02_TASK_CATALOG'!A:A,0)))</f>
        <v/>
      </c>
      <c r="E62">
        <f>IF(C62="","",INDEX('02_TASK_CATALOG'!F:F,MATCH(C62,'02_TASK_CATALOG'!A:A,0)))</f>
        <v>0</v>
      </c>
      <c r="F62">
        <f>IF(C62="","",INDEX('02_TASK_CATALOG'!G:G,MATCH(C62,'02_TASK_CATALOG'!A:A,0)))</f>
        <v>0</v>
      </c>
      <c r="G62">
        <f>IF(C62="","",INDEX('02_TASK_CATALOG'!H:H,MATCH(C62,'02_TASK_CATALOG'!A:A,0)))</f>
        <v>0</v>
      </c>
      <c r="H62">
        <f>IF(A62="","",MAX(0,E62-F62-G62))</f>
        <v>0</v>
      </c>
      <c r="I62">
        <f>IF(A62="","",H62*IF('03_EXECUTION_LOG'!H62="",1,'03_EXECUTION_LOG'!H62)/60)</f>
        <v>0</v>
      </c>
      <c r="J62">
        <f>IF(D62="","",INDEX('01_ASSUMPTIONS'!C:C,MATCH(D62,'01_ASSUMPTIONS'!A:A,0)))</f>
        <v>0</v>
      </c>
      <c r="K62">
        <f>IF(OR(A62="",L62&lt;&gt;TRUE),0,I62*J62)</f>
        <v>0</v>
      </c>
      <c r="L62" t="b">
        <f>IF(A62="","",AND('03_EXECUTION_LOG'!F62="success",INDEX('02_TASK_CATALOG'!J:J,MATCH(C62,'02_TASK_CATALOG'!A:A,0))=TRUE,H62&gt;0,J62&gt;0,'03_EXECUTION_LOG'!J62&lt;&gt;""))</f>
        <v>0</v>
      </c>
      <c r="M62" t="str">
        <f>IF(A62="","",IF('03_EXECUTION_LOG'!F62&lt;&gt;"success","non-success status",IF(INDEX('02_TASK_CATALOG'!J:J,MATCH(C62,'02_TASK_CATALOG'!A:A,0))&lt;&gt;TRUE,"task not approved",IF(H62&lt;=0,"no net time saved",IF(J62&lt;=0,"missing labor rate",IF('03_EXECUTION_LOG'!J62="","missing evidence",""))))))</f>
        <v/>
      </c>
      <c r="N62" t="str">
        <f>IF(A62="","",IF(AND(L62=TRUE,'03_EXECUTION_LOG'!I62=FALSE),"high",IF(AND(L62=TRUE,'03_EXECUTION_LOG'!I62=TRUE),"medium","low")))</f>
        <v/>
      </c>
      <c r="O62" t="str">
        <f>IF(A62="","",IF(AND(L62=TRUE,'03_EXECUTION_LOG'!J62&lt;&gt;""),"yes","needs-review"))</f>
        <v/>
      </c>
    </row>
    <row r="63">
      <c r="A63" t="str">
        <f>IF('03_EXECUTION_LOG'!A63="","",'03_EXECUTION_LOG'!A63)</f>
        <v/>
      </c>
      <c r="B63" t="str">
        <f>IF('03_EXECUTION_LOG'!B63="","",LEFT('03_EXECUTION_LOG'!B63,7))</f>
        <v/>
      </c>
      <c r="C63" t="str">
        <f>IF('03_EXECUTION_LOG'!E63="","",'03_EXECUTION_LOG'!E63)</f>
        <v/>
      </c>
      <c r="D63" t="str">
        <f>IF(C63="","",INDEX('02_TASK_CATALOG'!E:E,MATCH(C63,'02_TASK_CATALOG'!A:A,0)))</f>
        <v/>
      </c>
      <c r="E63">
        <f>IF(C63="","",INDEX('02_TASK_CATALOG'!F:F,MATCH(C63,'02_TASK_CATALOG'!A:A,0)))</f>
        <v>0</v>
      </c>
      <c r="F63">
        <f>IF(C63="","",INDEX('02_TASK_CATALOG'!G:G,MATCH(C63,'02_TASK_CATALOG'!A:A,0)))</f>
        <v>0</v>
      </c>
      <c r="G63">
        <f>IF(C63="","",INDEX('02_TASK_CATALOG'!H:H,MATCH(C63,'02_TASK_CATALOG'!A:A,0)))</f>
        <v>0</v>
      </c>
      <c r="H63">
        <f>IF(A63="","",MAX(0,E63-F63-G63))</f>
        <v>0</v>
      </c>
      <c r="I63">
        <f>IF(A63="","",H63*IF('03_EXECUTION_LOG'!H63="",1,'03_EXECUTION_LOG'!H63)/60)</f>
        <v>0</v>
      </c>
      <c r="J63">
        <f>IF(D63="","",INDEX('01_ASSUMPTIONS'!C:C,MATCH(D63,'01_ASSUMPTIONS'!A:A,0)))</f>
        <v>0</v>
      </c>
      <c r="K63">
        <f>IF(OR(A63="",L63&lt;&gt;TRUE),0,I63*J63)</f>
        <v>0</v>
      </c>
      <c r="L63" t="b">
        <f>IF(A63="","",AND('03_EXECUTION_LOG'!F63="success",INDEX('02_TASK_CATALOG'!J:J,MATCH(C63,'02_TASK_CATALOG'!A:A,0))=TRUE,H63&gt;0,J63&gt;0,'03_EXECUTION_LOG'!J63&lt;&gt;""))</f>
        <v>0</v>
      </c>
      <c r="M63" t="str">
        <f>IF(A63="","",IF('03_EXECUTION_LOG'!F63&lt;&gt;"success","non-success status",IF(INDEX('02_TASK_CATALOG'!J:J,MATCH(C63,'02_TASK_CATALOG'!A:A,0))&lt;&gt;TRUE,"task not approved",IF(H63&lt;=0,"no net time saved",IF(J63&lt;=0,"missing labor rate",IF('03_EXECUTION_LOG'!J63="","missing evidence",""))))))</f>
        <v/>
      </c>
      <c r="N63" t="str">
        <f>IF(A63="","",IF(AND(L63=TRUE,'03_EXECUTION_LOG'!I63=FALSE),"high",IF(AND(L63=TRUE,'03_EXECUTION_LOG'!I63=TRUE),"medium","low")))</f>
        <v/>
      </c>
      <c r="O63" t="str">
        <f>IF(A63="","",IF(AND(L63=TRUE,'03_EXECUTION_LOG'!J63&lt;&gt;""),"yes","needs-review"))</f>
        <v/>
      </c>
    </row>
    <row r="64">
      <c r="A64" t="str">
        <f>IF('03_EXECUTION_LOG'!A64="","",'03_EXECUTION_LOG'!A64)</f>
        <v/>
      </c>
      <c r="B64" t="str">
        <f>IF('03_EXECUTION_LOG'!B64="","",LEFT('03_EXECUTION_LOG'!B64,7))</f>
        <v/>
      </c>
      <c r="C64" t="str">
        <f>IF('03_EXECUTION_LOG'!E64="","",'03_EXECUTION_LOG'!E64)</f>
        <v/>
      </c>
      <c r="D64" t="str">
        <f>IF(C64="","",INDEX('02_TASK_CATALOG'!E:E,MATCH(C64,'02_TASK_CATALOG'!A:A,0)))</f>
        <v/>
      </c>
      <c r="E64">
        <f>IF(C64="","",INDEX('02_TASK_CATALOG'!F:F,MATCH(C64,'02_TASK_CATALOG'!A:A,0)))</f>
        <v>0</v>
      </c>
      <c r="F64">
        <f>IF(C64="","",INDEX('02_TASK_CATALOG'!G:G,MATCH(C64,'02_TASK_CATALOG'!A:A,0)))</f>
        <v>0</v>
      </c>
      <c r="G64">
        <f>IF(C64="","",INDEX('02_TASK_CATALOG'!H:H,MATCH(C64,'02_TASK_CATALOG'!A:A,0)))</f>
        <v>0</v>
      </c>
      <c r="H64">
        <f>IF(A64="","",MAX(0,E64-F64-G64))</f>
        <v>0</v>
      </c>
      <c r="I64">
        <f>IF(A64="","",H64*IF('03_EXECUTION_LOG'!H64="",1,'03_EXECUTION_LOG'!H64)/60)</f>
        <v>0</v>
      </c>
      <c r="J64">
        <f>IF(D64="","",INDEX('01_ASSUMPTIONS'!C:C,MATCH(D64,'01_ASSUMPTIONS'!A:A,0)))</f>
        <v>0</v>
      </c>
      <c r="K64">
        <f>IF(OR(A64="",L64&lt;&gt;TRUE),0,I64*J64)</f>
        <v>0</v>
      </c>
      <c r="L64" t="b">
        <f>IF(A64="","",AND('03_EXECUTION_LOG'!F64="success",INDEX('02_TASK_CATALOG'!J:J,MATCH(C64,'02_TASK_CATALOG'!A:A,0))=TRUE,H64&gt;0,J64&gt;0,'03_EXECUTION_LOG'!J64&lt;&gt;""))</f>
        <v>0</v>
      </c>
      <c r="M64" t="str">
        <f>IF(A64="","",IF('03_EXECUTION_LOG'!F64&lt;&gt;"success","non-success status",IF(INDEX('02_TASK_CATALOG'!J:J,MATCH(C64,'02_TASK_CATALOG'!A:A,0))&lt;&gt;TRUE,"task not approved",IF(H64&lt;=0,"no net time saved",IF(J64&lt;=0,"missing labor rate",IF('03_EXECUTION_LOG'!J64="","missing evidence",""))))))</f>
        <v/>
      </c>
      <c r="N64" t="str">
        <f>IF(A64="","",IF(AND(L64=TRUE,'03_EXECUTION_LOG'!I64=FALSE),"high",IF(AND(L64=TRUE,'03_EXECUTION_LOG'!I64=TRUE),"medium","low")))</f>
        <v/>
      </c>
      <c r="O64" t="str">
        <f>IF(A64="","",IF(AND(L64=TRUE,'03_EXECUTION_LOG'!J64&lt;&gt;""),"yes","needs-review"))</f>
        <v/>
      </c>
    </row>
    <row r="65">
      <c r="A65" t="str">
        <f>IF('03_EXECUTION_LOG'!A65="","",'03_EXECUTION_LOG'!A65)</f>
        <v/>
      </c>
      <c r="B65" t="str">
        <f>IF('03_EXECUTION_LOG'!B65="","",LEFT('03_EXECUTION_LOG'!B65,7))</f>
        <v/>
      </c>
      <c r="C65" t="str">
        <f>IF('03_EXECUTION_LOG'!E65="","",'03_EXECUTION_LOG'!E65)</f>
        <v/>
      </c>
      <c r="D65" t="str">
        <f>IF(C65="","",INDEX('02_TASK_CATALOG'!E:E,MATCH(C65,'02_TASK_CATALOG'!A:A,0)))</f>
        <v/>
      </c>
      <c r="E65">
        <f>IF(C65="","",INDEX('02_TASK_CATALOG'!F:F,MATCH(C65,'02_TASK_CATALOG'!A:A,0)))</f>
        <v>0</v>
      </c>
      <c r="F65">
        <f>IF(C65="","",INDEX('02_TASK_CATALOG'!G:G,MATCH(C65,'02_TASK_CATALOG'!A:A,0)))</f>
        <v>0</v>
      </c>
      <c r="G65">
        <f>IF(C65="","",INDEX('02_TASK_CATALOG'!H:H,MATCH(C65,'02_TASK_CATALOG'!A:A,0)))</f>
        <v>0</v>
      </c>
      <c r="H65">
        <f>IF(A65="","",MAX(0,E65-F65-G65))</f>
        <v>0</v>
      </c>
      <c r="I65">
        <f>IF(A65="","",H65*IF('03_EXECUTION_LOG'!H65="",1,'03_EXECUTION_LOG'!H65)/60)</f>
        <v>0</v>
      </c>
      <c r="J65">
        <f>IF(D65="","",INDEX('01_ASSUMPTIONS'!C:C,MATCH(D65,'01_ASSUMPTIONS'!A:A,0)))</f>
        <v>0</v>
      </c>
      <c r="K65">
        <f>IF(OR(A65="",L65&lt;&gt;TRUE),0,I65*J65)</f>
        <v>0</v>
      </c>
      <c r="L65" t="b">
        <f>IF(A65="","",AND('03_EXECUTION_LOG'!F65="success",INDEX('02_TASK_CATALOG'!J:J,MATCH(C65,'02_TASK_CATALOG'!A:A,0))=TRUE,H65&gt;0,J65&gt;0,'03_EXECUTION_LOG'!J65&lt;&gt;""))</f>
        <v>0</v>
      </c>
      <c r="M65" t="str">
        <f>IF(A65="","",IF('03_EXECUTION_LOG'!F65&lt;&gt;"success","non-success status",IF(INDEX('02_TASK_CATALOG'!J:J,MATCH(C65,'02_TASK_CATALOG'!A:A,0))&lt;&gt;TRUE,"task not approved",IF(H65&lt;=0,"no net time saved",IF(J65&lt;=0,"missing labor rate",IF('03_EXECUTION_LOG'!J65="","missing evidence",""))))))</f>
        <v/>
      </c>
      <c r="N65" t="str">
        <f>IF(A65="","",IF(AND(L65=TRUE,'03_EXECUTION_LOG'!I65=FALSE),"high",IF(AND(L65=TRUE,'03_EXECUTION_LOG'!I65=TRUE),"medium","low")))</f>
        <v/>
      </c>
      <c r="O65" t="str">
        <f>IF(A65="","",IF(AND(L65=TRUE,'03_EXECUTION_LOG'!J65&lt;&gt;""),"yes","needs-review"))</f>
        <v/>
      </c>
    </row>
    <row r="66">
      <c r="A66" t="str">
        <f>IF('03_EXECUTION_LOG'!A66="","",'03_EXECUTION_LOG'!A66)</f>
        <v/>
      </c>
      <c r="B66" t="str">
        <f>IF('03_EXECUTION_LOG'!B66="","",LEFT('03_EXECUTION_LOG'!B66,7))</f>
        <v/>
      </c>
      <c r="C66" t="str">
        <f>IF('03_EXECUTION_LOG'!E66="","",'03_EXECUTION_LOG'!E66)</f>
        <v/>
      </c>
      <c r="D66" t="str">
        <f>IF(C66="","",INDEX('02_TASK_CATALOG'!E:E,MATCH(C66,'02_TASK_CATALOG'!A:A,0)))</f>
        <v/>
      </c>
      <c r="E66">
        <f>IF(C66="","",INDEX('02_TASK_CATALOG'!F:F,MATCH(C66,'02_TASK_CATALOG'!A:A,0)))</f>
        <v>0</v>
      </c>
      <c r="F66">
        <f>IF(C66="","",INDEX('02_TASK_CATALOG'!G:G,MATCH(C66,'02_TASK_CATALOG'!A:A,0)))</f>
        <v>0</v>
      </c>
      <c r="G66">
        <f>IF(C66="","",INDEX('02_TASK_CATALOG'!H:H,MATCH(C66,'02_TASK_CATALOG'!A:A,0)))</f>
        <v>0</v>
      </c>
      <c r="H66">
        <f>IF(A66="","",MAX(0,E66-F66-G66))</f>
        <v>0</v>
      </c>
      <c r="I66">
        <f>IF(A66="","",H66*IF('03_EXECUTION_LOG'!H66="",1,'03_EXECUTION_LOG'!H66)/60)</f>
        <v>0</v>
      </c>
      <c r="J66">
        <f>IF(D66="","",INDEX('01_ASSUMPTIONS'!C:C,MATCH(D66,'01_ASSUMPTIONS'!A:A,0)))</f>
        <v>0</v>
      </c>
      <c r="K66">
        <f>IF(OR(A66="",L66&lt;&gt;TRUE),0,I66*J66)</f>
        <v>0</v>
      </c>
      <c r="L66" t="b">
        <f>IF(A66="","",AND('03_EXECUTION_LOG'!F66="success",INDEX('02_TASK_CATALOG'!J:J,MATCH(C66,'02_TASK_CATALOG'!A:A,0))=TRUE,H66&gt;0,J66&gt;0,'03_EXECUTION_LOG'!J66&lt;&gt;""))</f>
        <v>0</v>
      </c>
      <c r="M66" t="str">
        <f>IF(A66="","",IF('03_EXECUTION_LOG'!F66&lt;&gt;"success","non-success status",IF(INDEX('02_TASK_CATALOG'!J:J,MATCH(C66,'02_TASK_CATALOG'!A:A,0))&lt;&gt;TRUE,"task not approved",IF(H66&lt;=0,"no net time saved",IF(J66&lt;=0,"missing labor rate",IF('03_EXECUTION_LOG'!J66="","missing evidence",""))))))</f>
        <v/>
      </c>
      <c r="N66" t="str">
        <f>IF(A66="","",IF(AND(L66=TRUE,'03_EXECUTION_LOG'!I66=FALSE),"high",IF(AND(L66=TRUE,'03_EXECUTION_LOG'!I66=TRUE),"medium","low")))</f>
        <v/>
      </c>
      <c r="O66" t="str">
        <f>IF(A66="","",IF(AND(L66=TRUE,'03_EXECUTION_LOG'!J66&lt;&gt;""),"yes","needs-review"))</f>
        <v/>
      </c>
    </row>
    <row r="67">
      <c r="A67" t="str">
        <f>IF('03_EXECUTION_LOG'!A67="","",'03_EXECUTION_LOG'!A67)</f>
        <v/>
      </c>
      <c r="B67" t="str">
        <f>IF('03_EXECUTION_LOG'!B67="","",LEFT('03_EXECUTION_LOG'!B67,7))</f>
        <v/>
      </c>
      <c r="C67" t="str">
        <f>IF('03_EXECUTION_LOG'!E67="","",'03_EXECUTION_LOG'!E67)</f>
        <v/>
      </c>
      <c r="D67" t="str">
        <f>IF(C67="","",INDEX('02_TASK_CATALOG'!E:E,MATCH(C67,'02_TASK_CATALOG'!A:A,0)))</f>
        <v/>
      </c>
      <c r="E67">
        <f>IF(C67="","",INDEX('02_TASK_CATALOG'!F:F,MATCH(C67,'02_TASK_CATALOG'!A:A,0)))</f>
        <v>0</v>
      </c>
      <c r="F67">
        <f>IF(C67="","",INDEX('02_TASK_CATALOG'!G:G,MATCH(C67,'02_TASK_CATALOG'!A:A,0)))</f>
        <v>0</v>
      </c>
      <c r="G67">
        <f>IF(C67="","",INDEX('02_TASK_CATALOG'!H:H,MATCH(C67,'02_TASK_CATALOG'!A:A,0)))</f>
        <v>0</v>
      </c>
      <c r="H67">
        <f>IF(A67="","",MAX(0,E67-F67-G67))</f>
        <v>0</v>
      </c>
      <c r="I67">
        <f>IF(A67="","",H67*IF('03_EXECUTION_LOG'!H67="",1,'03_EXECUTION_LOG'!H67)/60)</f>
        <v>0</v>
      </c>
      <c r="J67">
        <f>IF(D67="","",INDEX('01_ASSUMPTIONS'!C:C,MATCH(D67,'01_ASSUMPTIONS'!A:A,0)))</f>
        <v>0</v>
      </c>
      <c r="K67">
        <f>IF(OR(A67="",L67&lt;&gt;TRUE),0,I67*J67)</f>
        <v>0</v>
      </c>
      <c r="L67" t="b">
        <f>IF(A67="","",AND('03_EXECUTION_LOG'!F67="success",INDEX('02_TASK_CATALOG'!J:J,MATCH(C67,'02_TASK_CATALOG'!A:A,0))=TRUE,H67&gt;0,J67&gt;0,'03_EXECUTION_LOG'!J67&lt;&gt;""))</f>
        <v>0</v>
      </c>
      <c r="M67" t="str">
        <f>IF(A67="","",IF('03_EXECUTION_LOG'!F67&lt;&gt;"success","non-success status",IF(INDEX('02_TASK_CATALOG'!J:J,MATCH(C67,'02_TASK_CATALOG'!A:A,0))&lt;&gt;TRUE,"task not approved",IF(H67&lt;=0,"no net time saved",IF(J67&lt;=0,"missing labor rate",IF('03_EXECUTION_LOG'!J67="","missing evidence",""))))))</f>
        <v/>
      </c>
      <c r="N67" t="str">
        <f>IF(A67="","",IF(AND(L67=TRUE,'03_EXECUTION_LOG'!I67=FALSE),"high",IF(AND(L67=TRUE,'03_EXECUTION_LOG'!I67=TRUE),"medium","low")))</f>
        <v/>
      </c>
      <c r="O67" t="str">
        <f>IF(A67="","",IF(AND(L67=TRUE,'03_EXECUTION_LOG'!J67&lt;&gt;""),"yes","needs-review"))</f>
        <v/>
      </c>
    </row>
    <row r="68">
      <c r="A68" t="str">
        <f>IF('03_EXECUTION_LOG'!A68="","",'03_EXECUTION_LOG'!A68)</f>
        <v/>
      </c>
      <c r="B68" t="str">
        <f>IF('03_EXECUTION_LOG'!B68="","",LEFT('03_EXECUTION_LOG'!B68,7))</f>
        <v/>
      </c>
      <c r="C68" t="str">
        <f>IF('03_EXECUTION_LOG'!E68="","",'03_EXECUTION_LOG'!E68)</f>
        <v/>
      </c>
      <c r="D68" t="str">
        <f>IF(C68="","",INDEX('02_TASK_CATALOG'!E:E,MATCH(C68,'02_TASK_CATALOG'!A:A,0)))</f>
        <v/>
      </c>
      <c r="E68">
        <f>IF(C68="","",INDEX('02_TASK_CATALOG'!F:F,MATCH(C68,'02_TASK_CATALOG'!A:A,0)))</f>
        <v>0</v>
      </c>
      <c r="F68">
        <f>IF(C68="","",INDEX('02_TASK_CATALOG'!G:G,MATCH(C68,'02_TASK_CATALOG'!A:A,0)))</f>
        <v>0</v>
      </c>
      <c r="G68">
        <f>IF(C68="","",INDEX('02_TASK_CATALOG'!H:H,MATCH(C68,'02_TASK_CATALOG'!A:A,0)))</f>
        <v>0</v>
      </c>
      <c r="H68">
        <f>IF(A68="","",MAX(0,E68-F68-G68))</f>
        <v>0</v>
      </c>
      <c r="I68">
        <f>IF(A68="","",H68*IF('03_EXECUTION_LOG'!H68="",1,'03_EXECUTION_LOG'!H68)/60)</f>
        <v>0</v>
      </c>
      <c r="J68">
        <f>IF(D68="","",INDEX('01_ASSUMPTIONS'!C:C,MATCH(D68,'01_ASSUMPTIONS'!A:A,0)))</f>
        <v>0</v>
      </c>
      <c r="K68">
        <f>IF(OR(A68="",L68&lt;&gt;TRUE),0,I68*J68)</f>
        <v>0</v>
      </c>
      <c r="L68" t="b">
        <f>IF(A68="","",AND('03_EXECUTION_LOG'!F68="success",INDEX('02_TASK_CATALOG'!J:J,MATCH(C68,'02_TASK_CATALOG'!A:A,0))=TRUE,H68&gt;0,J68&gt;0,'03_EXECUTION_LOG'!J68&lt;&gt;""))</f>
        <v>0</v>
      </c>
      <c r="M68" t="str">
        <f>IF(A68="","",IF('03_EXECUTION_LOG'!F68&lt;&gt;"success","non-success status",IF(INDEX('02_TASK_CATALOG'!J:J,MATCH(C68,'02_TASK_CATALOG'!A:A,0))&lt;&gt;TRUE,"task not approved",IF(H68&lt;=0,"no net time saved",IF(J68&lt;=0,"missing labor rate",IF('03_EXECUTION_LOG'!J68="","missing evidence",""))))))</f>
        <v/>
      </c>
      <c r="N68" t="str">
        <f>IF(A68="","",IF(AND(L68=TRUE,'03_EXECUTION_LOG'!I68=FALSE),"high",IF(AND(L68=TRUE,'03_EXECUTION_LOG'!I68=TRUE),"medium","low")))</f>
        <v/>
      </c>
      <c r="O68" t="str">
        <f>IF(A68="","",IF(AND(L68=TRUE,'03_EXECUTION_LOG'!J68&lt;&gt;""),"yes","needs-review"))</f>
        <v/>
      </c>
    </row>
    <row r="69">
      <c r="A69" t="str">
        <f>IF('03_EXECUTION_LOG'!A69="","",'03_EXECUTION_LOG'!A69)</f>
        <v/>
      </c>
      <c r="B69" t="str">
        <f>IF('03_EXECUTION_LOG'!B69="","",LEFT('03_EXECUTION_LOG'!B69,7))</f>
        <v/>
      </c>
      <c r="C69" t="str">
        <f>IF('03_EXECUTION_LOG'!E69="","",'03_EXECUTION_LOG'!E69)</f>
        <v/>
      </c>
      <c r="D69" t="str">
        <f>IF(C69="","",INDEX('02_TASK_CATALOG'!E:E,MATCH(C69,'02_TASK_CATALOG'!A:A,0)))</f>
        <v/>
      </c>
      <c r="E69">
        <f>IF(C69="","",INDEX('02_TASK_CATALOG'!F:F,MATCH(C69,'02_TASK_CATALOG'!A:A,0)))</f>
        <v>0</v>
      </c>
      <c r="F69">
        <f>IF(C69="","",INDEX('02_TASK_CATALOG'!G:G,MATCH(C69,'02_TASK_CATALOG'!A:A,0)))</f>
        <v>0</v>
      </c>
      <c r="G69">
        <f>IF(C69="","",INDEX('02_TASK_CATALOG'!H:H,MATCH(C69,'02_TASK_CATALOG'!A:A,0)))</f>
        <v>0</v>
      </c>
      <c r="H69">
        <f>IF(A69="","",MAX(0,E69-F69-G69))</f>
        <v>0</v>
      </c>
      <c r="I69">
        <f>IF(A69="","",H69*IF('03_EXECUTION_LOG'!H69="",1,'03_EXECUTION_LOG'!H69)/60)</f>
        <v>0</v>
      </c>
      <c r="J69">
        <f>IF(D69="","",INDEX('01_ASSUMPTIONS'!C:C,MATCH(D69,'01_ASSUMPTIONS'!A:A,0)))</f>
        <v>0</v>
      </c>
      <c r="K69">
        <f>IF(OR(A69="",L69&lt;&gt;TRUE),0,I69*J69)</f>
        <v>0</v>
      </c>
      <c r="L69" t="b">
        <f>IF(A69="","",AND('03_EXECUTION_LOG'!F69="success",INDEX('02_TASK_CATALOG'!J:J,MATCH(C69,'02_TASK_CATALOG'!A:A,0))=TRUE,H69&gt;0,J69&gt;0,'03_EXECUTION_LOG'!J69&lt;&gt;""))</f>
        <v>0</v>
      </c>
      <c r="M69" t="str">
        <f>IF(A69="","",IF('03_EXECUTION_LOG'!F69&lt;&gt;"success","non-success status",IF(INDEX('02_TASK_CATALOG'!J:J,MATCH(C69,'02_TASK_CATALOG'!A:A,0))&lt;&gt;TRUE,"task not approved",IF(H69&lt;=0,"no net time saved",IF(J69&lt;=0,"missing labor rate",IF('03_EXECUTION_LOG'!J69="","missing evidence",""))))))</f>
        <v/>
      </c>
      <c r="N69" t="str">
        <f>IF(A69="","",IF(AND(L69=TRUE,'03_EXECUTION_LOG'!I69=FALSE),"high",IF(AND(L69=TRUE,'03_EXECUTION_LOG'!I69=TRUE),"medium","low")))</f>
        <v/>
      </c>
      <c r="O69" t="str">
        <f>IF(A69="","",IF(AND(L69=TRUE,'03_EXECUTION_LOG'!J69&lt;&gt;""),"yes","needs-review"))</f>
        <v/>
      </c>
    </row>
    <row r="70">
      <c r="A70" t="str">
        <f>IF('03_EXECUTION_LOG'!A70="","",'03_EXECUTION_LOG'!A70)</f>
        <v/>
      </c>
      <c r="B70" t="str">
        <f>IF('03_EXECUTION_LOG'!B70="","",LEFT('03_EXECUTION_LOG'!B70,7))</f>
        <v/>
      </c>
      <c r="C70" t="str">
        <f>IF('03_EXECUTION_LOG'!E70="","",'03_EXECUTION_LOG'!E70)</f>
        <v/>
      </c>
      <c r="D70" t="str">
        <f>IF(C70="","",INDEX('02_TASK_CATALOG'!E:E,MATCH(C70,'02_TASK_CATALOG'!A:A,0)))</f>
        <v/>
      </c>
      <c r="E70">
        <f>IF(C70="","",INDEX('02_TASK_CATALOG'!F:F,MATCH(C70,'02_TASK_CATALOG'!A:A,0)))</f>
        <v>0</v>
      </c>
      <c r="F70">
        <f>IF(C70="","",INDEX('02_TASK_CATALOG'!G:G,MATCH(C70,'02_TASK_CATALOG'!A:A,0)))</f>
        <v>0</v>
      </c>
      <c r="G70">
        <f>IF(C70="","",INDEX('02_TASK_CATALOG'!H:H,MATCH(C70,'02_TASK_CATALOG'!A:A,0)))</f>
        <v>0</v>
      </c>
      <c r="H70">
        <f>IF(A70="","",MAX(0,E70-F70-G70))</f>
        <v>0</v>
      </c>
      <c r="I70">
        <f>IF(A70="","",H70*IF('03_EXECUTION_LOG'!H70="",1,'03_EXECUTION_LOG'!H70)/60)</f>
        <v>0</v>
      </c>
      <c r="J70">
        <f>IF(D70="","",INDEX('01_ASSUMPTIONS'!C:C,MATCH(D70,'01_ASSUMPTIONS'!A:A,0)))</f>
        <v>0</v>
      </c>
      <c r="K70">
        <f>IF(OR(A70="",L70&lt;&gt;TRUE),0,I70*J70)</f>
        <v>0</v>
      </c>
      <c r="L70" t="b">
        <f>IF(A70="","",AND('03_EXECUTION_LOG'!F70="success",INDEX('02_TASK_CATALOG'!J:J,MATCH(C70,'02_TASK_CATALOG'!A:A,0))=TRUE,H70&gt;0,J70&gt;0,'03_EXECUTION_LOG'!J70&lt;&gt;""))</f>
        <v>0</v>
      </c>
      <c r="M70" t="str">
        <f>IF(A70="","",IF('03_EXECUTION_LOG'!F70&lt;&gt;"success","non-success status",IF(INDEX('02_TASK_CATALOG'!J:J,MATCH(C70,'02_TASK_CATALOG'!A:A,0))&lt;&gt;TRUE,"task not approved",IF(H70&lt;=0,"no net time saved",IF(J70&lt;=0,"missing labor rate",IF('03_EXECUTION_LOG'!J70="","missing evidence",""))))))</f>
        <v/>
      </c>
      <c r="N70" t="str">
        <f>IF(A70="","",IF(AND(L70=TRUE,'03_EXECUTION_LOG'!I70=FALSE),"high",IF(AND(L70=TRUE,'03_EXECUTION_LOG'!I70=TRUE),"medium","low")))</f>
        <v/>
      </c>
      <c r="O70" t="str">
        <f>IF(A70="","",IF(AND(L70=TRUE,'03_EXECUTION_LOG'!J70&lt;&gt;""),"yes","needs-review"))</f>
        <v/>
      </c>
    </row>
    <row r="71">
      <c r="A71" t="str">
        <f>IF('03_EXECUTION_LOG'!A71="","",'03_EXECUTION_LOG'!A71)</f>
        <v/>
      </c>
      <c r="B71" t="str">
        <f>IF('03_EXECUTION_LOG'!B71="","",LEFT('03_EXECUTION_LOG'!B71,7))</f>
        <v/>
      </c>
      <c r="C71" t="str">
        <f>IF('03_EXECUTION_LOG'!E71="","",'03_EXECUTION_LOG'!E71)</f>
        <v/>
      </c>
      <c r="D71" t="str">
        <f>IF(C71="","",INDEX('02_TASK_CATALOG'!E:E,MATCH(C71,'02_TASK_CATALOG'!A:A,0)))</f>
        <v/>
      </c>
      <c r="E71">
        <f>IF(C71="","",INDEX('02_TASK_CATALOG'!F:F,MATCH(C71,'02_TASK_CATALOG'!A:A,0)))</f>
        <v>0</v>
      </c>
      <c r="F71">
        <f>IF(C71="","",INDEX('02_TASK_CATALOG'!G:G,MATCH(C71,'02_TASK_CATALOG'!A:A,0)))</f>
        <v>0</v>
      </c>
      <c r="G71">
        <f>IF(C71="","",INDEX('02_TASK_CATALOG'!H:H,MATCH(C71,'02_TASK_CATALOG'!A:A,0)))</f>
        <v>0</v>
      </c>
      <c r="H71">
        <f>IF(A71="","",MAX(0,E71-F71-G71))</f>
        <v>0</v>
      </c>
      <c r="I71">
        <f>IF(A71="","",H71*IF('03_EXECUTION_LOG'!H71="",1,'03_EXECUTION_LOG'!H71)/60)</f>
        <v>0</v>
      </c>
      <c r="J71">
        <f>IF(D71="","",INDEX('01_ASSUMPTIONS'!C:C,MATCH(D71,'01_ASSUMPTIONS'!A:A,0)))</f>
        <v>0</v>
      </c>
      <c r="K71">
        <f>IF(OR(A71="",L71&lt;&gt;TRUE),0,I71*J71)</f>
        <v>0</v>
      </c>
      <c r="L71" t="b">
        <f>IF(A71="","",AND('03_EXECUTION_LOG'!F71="success",INDEX('02_TASK_CATALOG'!J:J,MATCH(C71,'02_TASK_CATALOG'!A:A,0))=TRUE,H71&gt;0,J71&gt;0,'03_EXECUTION_LOG'!J71&lt;&gt;""))</f>
        <v>0</v>
      </c>
      <c r="M71" t="str">
        <f>IF(A71="","",IF('03_EXECUTION_LOG'!F71&lt;&gt;"success","non-success status",IF(INDEX('02_TASK_CATALOG'!J:J,MATCH(C71,'02_TASK_CATALOG'!A:A,0))&lt;&gt;TRUE,"task not approved",IF(H71&lt;=0,"no net time saved",IF(J71&lt;=0,"missing labor rate",IF('03_EXECUTION_LOG'!J71="","missing evidence",""))))))</f>
        <v/>
      </c>
      <c r="N71" t="str">
        <f>IF(A71="","",IF(AND(L71=TRUE,'03_EXECUTION_LOG'!I71=FALSE),"high",IF(AND(L71=TRUE,'03_EXECUTION_LOG'!I71=TRUE),"medium","low")))</f>
        <v/>
      </c>
      <c r="O71" t="str">
        <f>IF(A71="","",IF(AND(L71=TRUE,'03_EXECUTION_LOG'!J71&lt;&gt;""),"yes","needs-review"))</f>
        <v/>
      </c>
    </row>
    <row r="72">
      <c r="A72" t="str">
        <f>IF('03_EXECUTION_LOG'!A72="","",'03_EXECUTION_LOG'!A72)</f>
        <v/>
      </c>
      <c r="B72" t="str">
        <f>IF('03_EXECUTION_LOG'!B72="","",LEFT('03_EXECUTION_LOG'!B72,7))</f>
        <v/>
      </c>
      <c r="C72" t="str">
        <f>IF('03_EXECUTION_LOG'!E72="","",'03_EXECUTION_LOG'!E72)</f>
        <v/>
      </c>
      <c r="D72" t="str">
        <f>IF(C72="","",INDEX('02_TASK_CATALOG'!E:E,MATCH(C72,'02_TASK_CATALOG'!A:A,0)))</f>
        <v/>
      </c>
      <c r="E72">
        <f>IF(C72="","",INDEX('02_TASK_CATALOG'!F:F,MATCH(C72,'02_TASK_CATALOG'!A:A,0)))</f>
        <v>0</v>
      </c>
      <c r="F72">
        <f>IF(C72="","",INDEX('02_TASK_CATALOG'!G:G,MATCH(C72,'02_TASK_CATALOG'!A:A,0)))</f>
        <v>0</v>
      </c>
      <c r="G72">
        <f>IF(C72="","",INDEX('02_TASK_CATALOG'!H:H,MATCH(C72,'02_TASK_CATALOG'!A:A,0)))</f>
        <v>0</v>
      </c>
      <c r="H72">
        <f>IF(A72="","",MAX(0,E72-F72-G72))</f>
        <v>0</v>
      </c>
      <c r="I72">
        <f>IF(A72="","",H72*IF('03_EXECUTION_LOG'!H72="",1,'03_EXECUTION_LOG'!H72)/60)</f>
        <v>0</v>
      </c>
      <c r="J72">
        <f>IF(D72="","",INDEX('01_ASSUMPTIONS'!C:C,MATCH(D72,'01_ASSUMPTIONS'!A:A,0)))</f>
        <v>0</v>
      </c>
      <c r="K72">
        <f>IF(OR(A72="",L72&lt;&gt;TRUE),0,I72*J72)</f>
        <v>0</v>
      </c>
      <c r="L72" t="b">
        <f>IF(A72="","",AND('03_EXECUTION_LOG'!F72="success",INDEX('02_TASK_CATALOG'!J:J,MATCH(C72,'02_TASK_CATALOG'!A:A,0))=TRUE,H72&gt;0,J72&gt;0,'03_EXECUTION_LOG'!J72&lt;&gt;""))</f>
        <v>0</v>
      </c>
      <c r="M72" t="str">
        <f>IF(A72="","",IF('03_EXECUTION_LOG'!F72&lt;&gt;"success","non-success status",IF(INDEX('02_TASK_CATALOG'!J:J,MATCH(C72,'02_TASK_CATALOG'!A:A,0))&lt;&gt;TRUE,"task not approved",IF(H72&lt;=0,"no net time saved",IF(J72&lt;=0,"missing labor rate",IF('03_EXECUTION_LOG'!J72="","missing evidence",""))))))</f>
        <v/>
      </c>
      <c r="N72" t="str">
        <f>IF(A72="","",IF(AND(L72=TRUE,'03_EXECUTION_LOG'!I72=FALSE),"high",IF(AND(L72=TRUE,'03_EXECUTION_LOG'!I72=TRUE),"medium","low")))</f>
        <v/>
      </c>
      <c r="O72" t="str">
        <f>IF(A72="","",IF(AND(L72=TRUE,'03_EXECUTION_LOG'!J72&lt;&gt;""),"yes","needs-review"))</f>
        <v/>
      </c>
    </row>
    <row r="73">
      <c r="A73" t="str">
        <f>IF('03_EXECUTION_LOG'!A73="","",'03_EXECUTION_LOG'!A73)</f>
        <v/>
      </c>
      <c r="B73" t="str">
        <f>IF('03_EXECUTION_LOG'!B73="","",LEFT('03_EXECUTION_LOG'!B73,7))</f>
        <v/>
      </c>
      <c r="C73" t="str">
        <f>IF('03_EXECUTION_LOG'!E73="","",'03_EXECUTION_LOG'!E73)</f>
        <v/>
      </c>
      <c r="D73" t="str">
        <f>IF(C73="","",INDEX('02_TASK_CATALOG'!E:E,MATCH(C73,'02_TASK_CATALOG'!A:A,0)))</f>
        <v/>
      </c>
      <c r="E73">
        <f>IF(C73="","",INDEX('02_TASK_CATALOG'!F:F,MATCH(C73,'02_TASK_CATALOG'!A:A,0)))</f>
        <v>0</v>
      </c>
      <c r="F73">
        <f>IF(C73="","",INDEX('02_TASK_CATALOG'!G:G,MATCH(C73,'02_TASK_CATALOG'!A:A,0)))</f>
        <v>0</v>
      </c>
      <c r="G73">
        <f>IF(C73="","",INDEX('02_TASK_CATALOG'!H:H,MATCH(C73,'02_TASK_CATALOG'!A:A,0)))</f>
        <v>0</v>
      </c>
      <c r="H73">
        <f>IF(A73="","",MAX(0,E73-F73-G73))</f>
        <v>0</v>
      </c>
      <c r="I73">
        <f>IF(A73="","",H73*IF('03_EXECUTION_LOG'!H73="",1,'03_EXECUTION_LOG'!H73)/60)</f>
        <v>0</v>
      </c>
      <c r="J73">
        <f>IF(D73="","",INDEX('01_ASSUMPTIONS'!C:C,MATCH(D73,'01_ASSUMPTIONS'!A:A,0)))</f>
        <v>0</v>
      </c>
      <c r="K73">
        <f>IF(OR(A73="",L73&lt;&gt;TRUE),0,I73*J73)</f>
        <v>0</v>
      </c>
      <c r="L73" t="b">
        <f>IF(A73="","",AND('03_EXECUTION_LOG'!F73="success",INDEX('02_TASK_CATALOG'!J:J,MATCH(C73,'02_TASK_CATALOG'!A:A,0))=TRUE,H73&gt;0,J73&gt;0,'03_EXECUTION_LOG'!J73&lt;&gt;""))</f>
        <v>0</v>
      </c>
      <c r="M73" t="str">
        <f>IF(A73="","",IF('03_EXECUTION_LOG'!F73&lt;&gt;"success","non-success status",IF(INDEX('02_TASK_CATALOG'!J:J,MATCH(C73,'02_TASK_CATALOG'!A:A,0))&lt;&gt;TRUE,"task not approved",IF(H73&lt;=0,"no net time saved",IF(J73&lt;=0,"missing labor rate",IF('03_EXECUTION_LOG'!J73="","missing evidence",""))))))</f>
        <v/>
      </c>
      <c r="N73" t="str">
        <f>IF(A73="","",IF(AND(L73=TRUE,'03_EXECUTION_LOG'!I73=FALSE),"high",IF(AND(L73=TRUE,'03_EXECUTION_LOG'!I73=TRUE),"medium","low")))</f>
        <v/>
      </c>
      <c r="O73" t="str">
        <f>IF(A73="","",IF(AND(L73=TRUE,'03_EXECUTION_LOG'!J73&lt;&gt;""),"yes","needs-review"))</f>
        <v/>
      </c>
    </row>
    <row r="74">
      <c r="A74" t="str">
        <f>IF('03_EXECUTION_LOG'!A74="","",'03_EXECUTION_LOG'!A74)</f>
        <v/>
      </c>
      <c r="B74" t="str">
        <f>IF('03_EXECUTION_LOG'!B74="","",LEFT('03_EXECUTION_LOG'!B74,7))</f>
        <v/>
      </c>
      <c r="C74" t="str">
        <f>IF('03_EXECUTION_LOG'!E74="","",'03_EXECUTION_LOG'!E74)</f>
        <v/>
      </c>
      <c r="D74" t="str">
        <f>IF(C74="","",INDEX('02_TASK_CATALOG'!E:E,MATCH(C74,'02_TASK_CATALOG'!A:A,0)))</f>
        <v/>
      </c>
      <c r="E74">
        <f>IF(C74="","",INDEX('02_TASK_CATALOG'!F:F,MATCH(C74,'02_TASK_CATALOG'!A:A,0)))</f>
        <v>0</v>
      </c>
      <c r="F74">
        <f>IF(C74="","",INDEX('02_TASK_CATALOG'!G:G,MATCH(C74,'02_TASK_CATALOG'!A:A,0)))</f>
        <v>0</v>
      </c>
      <c r="G74">
        <f>IF(C74="","",INDEX('02_TASK_CATALOG'!H:H,MATCH(C74,'02_TASK_CATALOG'!A:A,0)))</f>
        <v>0</v>
      </c>
      <c r="H74">
        <f>IF(A74="","",MAX(0,E74-F74-G74))</f>
        <v>0</v>
      </c>
      <c r="I74">
        <f>IF(A74="","",H74*IF('03_EXECUTION_LOG'!H74="",1,'03_EXECUTION_LOG'!H74)/60)</f>
        <v>0</v>
      </c>
      <c r="J74">
        <f>IF(D74="","",INDEX('01_ASSUMPTIONS'!C:C,MATCH(D74,'01_ASSUMPTIONS'!A:A,0)))</f>
        <v>0</v>
      </c>
      <c r="K74">
        <f>IF(OR(A74="",L74&lt;&gt;TRUE),0,I74*J74)</f>
        <v>0</v>
      </c>
      <c r="L74" t="b">
        <f>IF(A74="","",AND('03_EXECUTION_LOG'!F74="success",INDEX('02_TASK_CATALOG'!J:J,MATCH(C74,'02_TASK_CATALOG'!A:A,0))=TRUE,H74&gt;0,J74&gt;0,'03_EXECUTION_LOG'!J74&lt;&gt;""))</f>
        <v>0</v>
      </c>
      <c r="M74" t="str">
        <f>IF(A74="","",IF('03_EXECUTION_LOG'!F74&lt;&gt;"success","non-success status",IF(INDEX('02_TASK_CATALOG'!J:J,MATCH(C74,'02_TASK_CATALOG'!A:A,0))&lt;&gt;TRUE,"task not approved",IF(H74&lt;=0,"no net time saved",IF(J74&lt;=0,"missing labor rate",IF('03_EXECUTION_LOG'!J74="","missing evidence",""))))))</f>
        <v/>
      </c>
      <c r="N74" t="str">
        <f>IF(A74="","",IF(AND(L74=TRUE,'03_EXECUTION_LOG'!I74=FALSE),"high",IF(AND(L74=TRUE,'03_EXECUTION_LOG'!I74=TRUE),"medium","low")))</f>
        <v/>
      </c>
      <c r="O74" t="str">
        <f>IF(A74="","",IF(AND(L74=TRUE,'03_EXECUTION_LOG'!J74&lt;&gt;""),"yes","needs-review"))</f>
        <v/>
      </c>
    </row>
    <row r="75">
      <c r="A75" t="str">
        <f>IF('03_EXECUTION_LOG'!A75="","",'03_EXECUTION_LOG'!A75)</f>
        <v/>
      </c>
      <c r="B75" t="str">
        <f>IF('03_EXECUTION_LOG'!B75="","",LEFT('03_EXECUTION_LOG'!B75,7))</f>
        <v/>
      </c>
      <c r="C75" t="str">
        <f>IF('03_EXECUTION_LOG'!E75="","",'03_EXECUTION_LOG'!E75)</f>
        <v/>
      </c>
      <c r="D75" t="str">
        <f>IF(C75="","",INDEX('02_TASK_CATALOG'!E:E,MATCH(C75,'02_TASK_CATALOG'!A:A,0)))</f>
        <v/>
      </c>
      <c r="E75">
        <f>IF(C75="","",INDEX('02_TASK_CATALOG'!F:F,MATCH(C75,'02_TASK_CATALOG'!A:A,0)))</f>
        <v>0</v>
      </c>
      <c r="F75">
        <f>IF(C75="","",INDEX('02_TASK_CATALOG'!G:G,MATCH(C75,'02_TASK_CATALOG'!A:A,0)))</f>
        <v>0</v>
      </c>
      <c r="G75">
        <f>IF(C75="","",INDEX('02_TASK_CATALOG'!H:H,MATCH(C75,'02_TASK_CATALOG'!A:A,0)))</f>
        <v>0</v>
      </c>
      <c r="H75">
        <f>IF(A75="","",MAX(0,E75-F75-G75))</f>
        <v>0</v>
      </c>
      <c r="I75">
        <f>IF(A75="","",H75*IF('03_EXECUTION_LOG'!H75="",1,'03_EXECUTION_LOG'!H75)/60)</f>
        <v>0</v>
      </c>
      <c r="J75">
        <f>IF(D75="","",INDEX('01_ASSUMPTIONS'!C:C,MATCH(D75,'01_ASSUMPTIONS'!A:A,0)))</f>
        <v>0</v>
      </c>
      <c r="K75">
        <f>IF(OR(A75="",L75&lt;&gt;TRUE),0,I75*J75)</f>
        <v>0</v>
      </c>
      <c r="L75" t="b">
        <f>IF(A75="","",AND('03_EXECUTION_LOG'!F75="success",INDEX('02_TASK_CATALOG'!J:J,MATCH(C75,'02_TASK_CATALOG'!A:A,0))=TRUE,H75&gt;0,J75&gt;0,'03_EXECUTION_LOG'!J75&lt;&gt;""))</f>
        <v>0</v>
      </c>
      <c r="M75" t="str">
        <f>IF(A75="","",IF('03_EXECUTION_LOG'!F75&lt;&gt;"success","non-success status",IF(INDEX('02_TASK_CATALOG'!J:J,MATCH(C75,'02_TASK_CATALOG'!A:A,0))&lt;&gt;TRUE,"task not approved",IF(H75&lt;=0,"no net time saved",IF(J75&lt;=0,"missing labor rate",IF('03_EXECUTION_LOG'!J75="","missing evidence",""))))))</f>
        <v/>
      </c>
      <c r="N75" t="str">
        <f>IF(A75="","",IF(AND(L75=TRUE,'03_EXECUTION_LOG'!I75=FALSE),"high",IF(AND(L75=TRUE,'03_EXECUTION_LOG'!I75=TRUE),"medium","low")))</f>
        <v/>
      </c>
      <c r="O75" t="str">
        <f>IF(A75="","",IF(AND(L75=TRUE,'03_EXECUTION_LOG'!J75&lt;&gt;""),"yes","needs-review"))</f>
        <v/>
      </c>
    </row>
    <row r="76">
      <c r="A76" t="str">
        <f>IF('03_EXECUTION_LOG'!A76="","",'03_EXECUTION_LOG'!A76)</f>
        <v/>
      </c>
      <c r="B76" t="str">
        <f>IF('03_EXECUTION_LOG'!B76="","",LEFT('03_EXECUTION_LOG'!B76,7))</f>
        <v/>
      </c>
      <c r="C76" t="str">
        <f>IF('03_EXECUTION_LOG'!E76="","",'03_EXECUTION_LOG'!E76)</f>
        <v/>
      </c>
      <c r="D76" t="str">
        <f>IF(C76="","",INDEX('02_TASK_CATALOG'!E:E,MATCH(C76,'02_TASK_CATALOG'!A:A,0)))</f>
        <v/>
      </c>
      <c r="E76">
        <f>IF(C76="","",INDEX('02_TASK_CATALOG'!F:F,MATCH(C76,'02_TASK_CATALOG'!A:A,0)))</f>
        <v>0</v>
      </c>
      <c r="F76">
        <f>IF(C76="","",INDEX('02_TASK_CATALOG'!G:G,MATCH(C76,'02_TASK_CATALOG'!A:A,0)))</f>
        <v>0</v>
      </c>
      <c r="G76">
        <f>IF(C76="","",INDEX('02_TASK_CATALOG'!H:H,MATCH(C76,'02_TASK_CATALOG'!A:A,0)))</f>
        <v>0</v>
      </c>
      <c r="H76">
        <f>IF(A76="","",MAX(0,E76-F76-G76))</f>
        <v>0</v>
      </c>
      <c r="I76">
        <f>IF(A76="","",H76*IF('03_EXECUTION_LOG'!H76="",1,'03_EXECUTION_LOG'!H76)/60)</f>
        <v>0</v>
      </c>
      <c r="J76">
        <f>IF(D76="","",INDEX('01_ASSUMPTIONS'!C:C,MATCH(D76,'01_ASSUMPTIONS'!A:A,0)))</f>
        <v>0</v>
      </c>
      <c r="K76">
        <f>IF(OR(A76="",L76&lt;&gt;TRUE),0,I76*J76)</f>
        <v>0</v>
      </c>
      <c r="L76" t="b">
        <f>IF(A76="","",AND('03_EXECUTION_LOG'!F76="success",INDEX('02_TASK_CATALOG'!J:J,MATCH(C76,'02_TASK_CATALOG'!A:A,0))=TRUE,H76&gt;0,J76&gt;0,'03_EXECUTION_LOG'!J76&lt;&gt;""))</f>
        <v>0</v>
      </c>
      <c r="M76" t="str">
        <f>IF(A76="","",IF('03_EXECUTION_LOG'!F76&lt;&gt;"success","non-success status",IF(INDEX('02_TASK_CATALOG'!J:J,MATCH(C76,'02_TASK_CATALOG'!A:A,0))&lt;&gt;TRUE,"task not approved",IF(H76&lt;=0,"no net time saved",IF(J76&lt;=0,"missing labor rate",IF('03_EXECUTION_LOG'!J76="","missing evidence",""))))))</f>
        <v/>
      </c>
      <c r="N76" t="str">
        <f>IF(A76="","",IF(AND(L76=TRUE,'03_EXECUTION_LOG'!I76=FALSE),"high",IF(AND(L76=TRUE,'03_EXECUTION_LOG'!I76=TRUE),"medium","low")))</f>
        <v/>
      </c>
      <c r="O76" t="str">
        <f>IF(A76="","",IF(AND(L76=TRUE,'03_EXECUTION_LOG'!J76&lt;&gt;""),"yes","needs-review"))</f>
        <v/>
      </c>
    </row>
    <row r="77">
      <c r="A77" t="str">
        <f>IF('03_EXECUTION_LOG'!A77="","",'03_EXECUTION_LOG'!A77)</f>
        <v/>
      </c>
      <c r="B77" t="str">
        <f>IF('03_EXECUTION_LOG'!B77="","",LEFT('03_EXECUTION_LOG'!B77,7))</f>
        <v/>
      </c>
      <c r="C77" t="str">
        <f>IF('03_EXECUTION_LOG'!E77="","",'03_EXECUTION_LOG'!E77)</f>
        <v/>
      </c>
      <c r="D77" t="str">
        <f>IF(C77="","",INDEX('02_TASK_CATALOG'!E:E,MATCH(C77,'02_TASK_CATALOG'!A:A,0)))</f>
        <v/>
      </c>
      <c r="E77">
        <f>IF(C77="","",INDEX('02_TASK_CATALOG'!F:F,MATCH(C77,'02_TASK_CATALOG'!A:A,0)))</f>
        <v>0</v>
      </c>
      <c r="F77">
        <f>IF(C77="","",INDEX('02_TASK_CATALOG'!G:G,MATCH(C77,'02_TASK_CATALOG'!A:A,0)))</f>
        <v>0</v>
      </c>
      <c r="G77">
        <f>IF(C77="","",INDEX('02_TASK_CATALOG'!H:H,MATCH(C77,'02_TASK_CATALOG'!A:A,0)))</f>
        <v>0</v>
      </c>
      <c r="H77">
        <f>IF(A77="","",MAX(0,E77-F77-G77))</f>
        <v>0</v>
      </c>
      <c r="I77">
        <f>IF(A77="","",H77*IF('03_EXECUTION_LOG'!H77="",1,'03_EXECUTION_LOG'!H77)/60)</f>
        <v>0</v>
      </c>
      <c r="J77">
        <f>IF(D77="","",INDEX('01_ASSUMPTIONS'!C:C,MATCH(D77,'01_ASSUMPTIONS'!A:A,0)))</f>
        <v>0</v>
      </c>
      <c r="K77">
        <f>IF(OR(A77="",L77&lt;&gt;TRUE),0,I77*J77)</f>
        <v>0</v>
      </c>
      <c r="L77" t="b">
        <f>IF(A77="","",AND('03_EXECUTION_LOG'!F77="success",INDEX('02_TASK_CATALOG'!J:J,MATCH(C77,'02_TASK_CATALOG'!A:A,0))=TRUE,H77&gt;0,J77&gt;0,'03_EXECUTION_LOG'!J77&lt;&gt;""))</f>
        <v>0</v>
      </c>
      <c r="M77" t="str">
        <f>IF(A77="","",IF('03_EXECUTION_LOG'!F77&lt;&gt;"success","non-success status",IF(INDEX('02_TASK_CATALOG'!J:J,MATCH(C77,'02_TASK_CATALOG'!A:A,0))&lt;&gt;TRUE,"task not approved",IF(H77&lt;=0,"no net time saved",IF(J77&lt;=0,"missing labor rate",IF('03_EXECUTION_LOG'!J77="","missing evidence",""))))))</f>
        <v/>
      </c>
      <c r="N77" t="str">
        <f>IF(A77="","",IF(AND(L77=TRUE,'03_EXECUTION_LOG'!I77=FALSE),"high",IF(AND(L77=TRUE,'03_EXECUTION_LOG'!I77=TRUE),"medium","low")))</f>
        <v/>
      </c>
      <c r="O77" t="str">
        <f>IF(A77="","",IF(AND(L77=TRUE,'03_EXECUTION_LOG'!J77&lt;&gt;""),"yes","needs-review"))</f>
        <v/>
      </c>
    </row>
    <row r="78">
      <c r="A78" t="str">
        <f>IF('03_EXECUTION_LOG'!A78="","",'03_EXECUTION_LOG'!A78)</f>
        <v/>
      </c>
      <c r="B78" t="str">
        <f>IF('03_EXECUTION_LOG'!B78="","",LEFT('03_EXECUTION_LOG'!B78,7))</f>
        <v/>
      </c>
      <c r="C78" t="str">
        <f>IF('03_EXECUTION_LOG'!E78="","",'03_EXECUTION_LOG'!E78)</f>
        <v/>
      </c>
      <c r="D78" t="str">
        <f>IF(C78="","",INDEX('02_TASK_CATALOG'!E:E,MATCH(C78,'02_TASK_CATALOG'!A:A,0)))</f>
        <v/>
      </c>
      <c r="E78">
        <f>IF(C78="","",INDEX('02_TASK_CATALOG'!F:F,MATCH(C78,'02_TASK_CATALOG'!A:A,0)))</f>
        <v>0</v>
      </c>
      <c r="F78">
        <f>IF(C78="","",INDEX('02_TASK_CATALOG'!G:G,MATCH(C78,'02_TASK_CATALOG'!A:A,0)))</f>
        <v>0</v>
      </c>
      <c r="G78">
        <f>IF(C78="","",INDEX('02_TASK_CATALOG'!H:H,MATCH(C78,'02_TASK_CATALOG'!A:A,0)))</f>
        <v>0</v>
      </c>
      <c r="H78">
        <f>IF(A78="","",MAX(0,E78-F78-G78))</f>
        <v>0</v>
      </c>
      <c r="I78">
        <f>IF(A78="","",H78*IF('03_EXECUTION_LOG'!H78="",1,'03_EXECUTION_LOG'!H78)/60)</f>
        <v>0</v>
      </c>
      <c r="J78">
        <f>IF(D78="","",INDEX('01_ASSUMPTIONS'!C:C,MATCH(D78,'01_ASSUMPTIONS'!A:A,0)))</f>
        <v>0</v>
      </c>
      <c r="K78">
        <f>IF(OR(A78="",L78&lt;&gt;TRUE),0,I78*J78)</f>
        <v>0</v>
      </c>
      <c r="L78" t="b">
        <f>IF(A78="","",AND('03_EXECUTION_LOG'!F78="success",INDEX('02_TASK_CATALOG'!J:J,MATCH(C78,'02_TASK_CATALOG'!A:A,0))=TRUE,H78&gt;0,J78&gt;0,'03_EXECUTION_LOG'!J78&lt;&gt;""))</f>
        <v>0</v>
      </c>
      <c r="M78" t="str">
        <f>IF(A78="","",IF('03_EXECUTION_LOG'!F78&lt;&gt;"success","non-success status",IF(INDEX('02_TASK_CATALOG'!J:J,MATCH(C78,'02_TASK_CATALOG'!A:A,0))&lt;&gt;TRUE,"task not approved",IF(H78&lt;=0,"no net time saved",IF(J78&lt;=0,"missing labor rate",IF('03_EXECUTION_LOG'!J78="","missing evidence",""))))))</f>
        <v/>
      </c>
      <c r="N78" t="str">
        <f>IF(A78="","",IF(AND(L78=TRUE,'03_EXECUTION_LOG'!I78=FALSE),"high",IF(AND(L78=TRUE,'03_EXECUTION_LOG'!I78=TRUE),"medium","low")))</f>
        <v/>
      </c>
      <c r="O78" t="str">
        <f>IF(A78="","",IF(AND(L78=TRUE,'03_EXECUTION_LOG'!J78&lt;&gt;""),"yes","needs-review"))</f>
        <v/>
      </c>
    </row>
    <row r="79">
      <c r="A79" t="str">
        <f>IF('03_EXECUTION_LOG'!A79="","",'03_EXECUTION_LOG'!A79)</f>
        <v/>
      </c>
      <c r="B79" t="str">
        <f>IF('03_EXECUTION_LOG'!B79="","",LEFT('03_EXECUTION_LOG'!B79,7))</f>
        <v/>
      </c>
      <c r="C79" t="str">
        <f>IF('03_EXECUTION_LOG'!E79="","",'03_EXECUTION_LOG'!E79)</f>
        <v/>
      </c>
      <c r="D79" t="str">
        <f>IF(C79="","",INDEX('02_TASK_CATALOG'!E:E,MATCH(C79,'02_TASK_CATALOG'!A:A,0)))</f>
        <v/>
      </c>
      <c r="E79">
        <f>IF(C79="","",INDEX('02_TASK_CATALOG'!F:F,MATCH(C79,'02_TASK_CATALOG'!A:A,0)))</f>
        <v>0</v>
      </c>
      <c r="F79">
        <f>IF(C79="","",INDEX('02_TASK_CATALOG'!G:G,MATCH(C79,'02_TASK_CATALOG'!A:A,0)))</f>
        <v>0</v>
      </c>
      <c r="G79">
        <f>IF(C79="","",INDEX('02_TASK_CATALOG'!H:H,MATCH(C79,'02_TASK_CATALOG'!A:A,0)))</f>
        <v>0</v>
      </c>
      <c r="H79">
        <f>IF(A79="","",MAX(0,E79-F79-G79))</f>
        <v>0</v>
      </c>
      <c r="I79">
        <f>IF(A79="","",H79*IF('03_EXECUTION_LOG'!H79="",1,'03_EXECUTION_LOG'!H79)/60)</f>
        <v>0</v>
      </c>
      <c r="J79">
        <f>IF(D79="","",INDEX('01_ASSUMPTIONS'!C:C,MATCH(D79,'01_ASSUMPTIONS'!A:A,0)))</f>
        <v>0</v>
      </c>
      <c r="K79">
        <f>IF(OR(A79="",L79&lt;&gt;TRUE),0,I79*J79)</f>
        <v>0</v>
      </c>
      <c r="L79" t="b">
        <f>IF(A79="","",AND('03_EXECUTION_LOG'!F79="success",INDEX('02_TASK_CATALOG'!J:J,MATCH(C79,'02_TASK_CATALOG'!A:A,0))=TRUE,H79&gt;0,J79&gt;0,'03_EXECUTION_LOG'!J79&lt;&gt;""))</f>
        <v>0</v>
      </c>
      <c r="M79" t="str">
        <f>IF(A79="","",IF('03_EXECUTION_LOG'!F79&lt;&gt;"success","non-success status",IF(INDEX('02_TASK_CATALOG'!J:J,MATCH(C79,'02_TASK_CATALOG'!A:A,0))&lt;&gt;TRUE,"task not approved",IF(H79&lt;=0,"no net time saved",IF(J79&lt;=0,"missing labor rate",IF('03_EXECUTION_LOG'!J79="","missing evidence",""))))))</f>
        <v/>
      </c>
      <c r="N79" t="str">
        <f>IF(A79="","",IF(AND(L79=TRUE,'03_EXECUTION_LOG'!I79=FALSE),"high",IF(AND(L79=TRUE,'03_EXECUTION_LOG'!I79=TRUE),"medium","low")))</f>
        <v/>
      </c>
      <c r="O79" t="str">
        <f>IF(A79="","",IF(AND(L79=TRUE,'03_EXECUTION_LOG'!J79&lt;&gt;""),"yes","needs-review"))</f>
        <v/>
      </c>
    </row>
    <row r="80">
      <c r="A80" t="str">
        <f>IF('03_EXECUTION_LOG'!A80="","",'03_EXECUTION_LOG'!A80)</f>
        <v/>
      </c>
      <c r="B80" t="str">
        <f>IF('03_EXECUTION_LOG'!B80="","",LEFT('03_EXECUTION_LOG'!B80,7))</f>
        <v/>
      </c>
      <c r="C80" t="str">
        <f>IF('03_EXECUTION_LOG'!E80="","",'03_EXECUTION_LOG'!E80)</f>
        <v/>
      </c>
      <c r="D80" t="str">
        <f>IF(C80="","",INDEX('02_TASK_CATALOG'!E:E,MATCH(C80,'02_TASK_CATALOG'!A:A,0)))</f>
        <v/>
      </c>
      <c r="E80">
        <f>IF(C80="","",INDEX('02_TASK_CATALOG'!F:F,MATCH(C80,'02_TASK_CATALOG'!A:A,0)))</f>
        <v>0</v>
      </c>
      <c r="F80">
        <f>IF(C80="","",INDEX('02_TASK_CATALOG'!G:G,MATCH(C80,'02_TASK_CATALOG'!A:A,0)))</f>
        <v>0</v>
      </c>
      <c r="G80">
        <f>IF(C80="","",INDEX('02_TASK_CATALOG'!H:H,MATCH(C80,'02_TASK_CATALOG'!A:A,0)))</f>
        <v>0</v>
      </c>
      <c r="H80">
        <f>IF(A80="","",MAX(0,E80-F80-G80))</f>
        <v>0</v>
      </c>
      <c r="I80">
        <f>IF(A80="","",H80*IF('03_EXECUTION_LOG'!H80="",1,'03_EXECUTION_LOG'!H80)/60)</f>
        <v>0</v>
      </c>
      <c r="J80">
        <f>IF(D80="","",INDEX('01_ASSUMPTIONS'!C:C,MATCH(D80,'01_ASSUMPTIONS'!A:A,0)))</f>
        <v>0</v>
      </c>
      <c r="K80">
        <f>IF(OR(A80="",L80&lt;&gt;TRUE),0,I80*J80)</f>
        <v>0</v>
      </c>
      <c r="L80" t="b">
        <f>IF(A80="","",AND('03_EXECUTION_LOG'!F80="success",INDEX('02_TASK_CATALOG'!J:J,MATCH(C80,'02_TASK_CATALOG'!A:A,0))=TRUE,H80&gt;0,J80&gt;0,'03_EXECUTION_LOG'!J80&lt;&gt;""))</f>
        <v>0</v>
      </c>
      <c r="M80" t="str">
        <f>IF(A80="","",IF('03_EXECUTION_LOG'!F80&lt;&gt;"success","non-success status",IF(INDEX('02_TASK_CATALOG'!J:J,MATCH(C80,'02_TASK_CATALOG'!A:A,0))&lt;&gt;TRUE,"task not approved",IF(H80&lt;=0,"no net time saved",IF(J80&lt;=0,"missing labor rate",IF('03_EXECUTION_LOG'!J80="","missing evidence",""))))))</f>
        <v/>
      </c>
      <c r="N80" t="str">
        <f>IF(A80="","",IF(AND(L80=TRUE,'03_EXECUTION_LOG'!I80=FALSE),"high",IF(AND(L80=TRUE,'03_EXECUTION_LOG'!I80=TRUE),"medium","low")))</f>
        <v/>
      </c>
      <c r="O80" t="str">
        <f>IF(A80="","",IF(AND(L80=TRUE,'03_EXECUTION_LOG'!J80&lt;&gt;""),"yes","needs-review"))</f>
        <v/>
      </c>
    </row>
    <row r="81">
      <c r="A81" t="str">
        <f>IF('03_EXECUTION_LOG'!A81="","",'03_EXECUTION_LOG'!A81)</f>
        <v/>
      </c>
      <c r="B81" t="str">
        <f>IF('03_EXECUTION_LOG'!B81="","",LEFT('03_EXECUTION_LOG'!B81,7))</f>
        <v/>
      </c>
      <c r="C81" t="str">
        <f>IF('03_EXECUTION_LOG'!E81="","",'03_EXECUTION_LOG'!E81)</f>
        <v/>
      </c>
      <c r="D81" t="str">
        <f>IF(C81="","",INDEX('02_TASK_CATALOG'!E:E,MATCH(C81,'02_TASK_CATALOG'!A:A,0)))</f>
        <v/>
      </c>
      <c r="E81">
        <f>IF(C81="","",INDEX('02_TASK_CATALOG'!F:F,MATCH(C81,'02_TASK_CATALOG'!A:A,0)))</f>
        <v>0</v>
      </c>
      <c r="F81">
        <f>IF(C81="","",INDEX('02_TASK_CATALOG'!G:G,MATCH(C81,'02_TASK_CATALOG'!A:A,0)))</f>
        <v>0</v>
      </c>
      <c r="G81">
        <f>IF(C81="","",INDEX('02_TASK_CATALOG'!H:H,MATCH(C81,'02_TASK_CATALOG'!A:A,0)))</f>
        <v>0</v>
      </c>
      <c r="H81">
        <f>IF(A81="","",MAX(0,E81-F81-G81))</f>
        <v>0</v>
      </c>
      <c r="I81">
        <f>IF(A81="","",H81*IF('03_EXECUTION_LOG'!H81="",1,'03_EXECUTION_LOG'!H81)/60)</f>
        <v>0</v>
      </c>
      <c r="J81">
        <f>IF(D81="","",INDEX('01_ASSUMPTIONS'!C:C,MATCH(D81,'01_ASSUMPTIONS'!A:A,0)))</f>
        <v>0</v>
      </c>
      <c r="K81">
        <f>IF(OR(A81="",L81&lt;&gt;TRUE),0,I81*J81)</f>
        <v>0</v>
      </c>
      <c r="L81" t="b">
        <f>IF(A81="","",AND('03_EXECUTION_LOG'!F81="success",INDEX('02_TASK_CATALOG'!J:J,MATCH(C81,'02_TASK_CATALOG'!A:A,0))=TRUE,H81&gt;0,J81&gt;0,'03_EXECUTION_LOG'!J81&lt;&gt;""))</f>
        <v>0</v>
      </c>
      <c r="M81" t="str">
        <f>IF(A81="","",IF('03_EXECUTION_LOG'!F81&lt;&gt;"success","non-success status",IF(INDEX('02_TASK_CATALOG'!J:J,MATCH(C81,'02_TASK_CATALOG'!A:A,0))&lt;&gt;TRUE,"task not approved",IF(H81&lt;=0,"no net time saved",IF(J81&lt;=0,"missing labor rate",IF('03_EXECUTION_LOG'!J81="","missing evidence",""))))))</f>
        <v/>
      </c>
      <c r="N81" t="str">
        <f>IF(A81="","",IF(AND(L81=TRUE,'03_EXECUTION_LOG'!I81=FALSE),"high",IF(AND(L81=TRUE,'03_EXECUTION_LOG'!I81=TRUE),"medium","low")))</f>
        <v/>
      </c>
      <c r="O81" t="str">
        <f>IF(A81="","",IF(AND(L81=TRUE,'03_EXECUTION_LOG'!J81&lt;&gt;""),"yes","needs-review"))</f>
        <v/>
      </c>
    </row>
    <row r="82">
      <c r="A82" t="str">
        <f>IF('03_EXECUTION_LOG'!A82="","",'03_EXECUTION_LOG'!A82)</f>
        <v/>
      </c>
      <c r="B82" t="str">
        <f>IF('03_EXECUTION_LOG'!B82="","",LEFT('03_EXECUTION_LOG'!B82,7))</f>
        <v/>
      </c>
      <c r="C82" t="str">
        <f>IF('03_EXECUTION_LOG'!E82="","",'03_EXECUTION_LOG'!E82)</f>
        <v/>
      </c>
      <c r="D82" t="str">
        <f>IF(C82="","",INDEX('02_TASK_CATALOG'!E:E,MATCH(C82,'02_TASK_CATALOG'!A:A,0)))</f>
        <v/>
      </c>
      <c r="E82">
        <f>IF(C82="","",INDEX('02_TASK_CATALOG'!F:F,MATCH(C82,'02_TASK_CATALOG'!A:A,0)))</f>
        <v>0</v>
      </c>
      <c r="F82">
        <f>IF(C82="","",INDEX('02_TASK_CATALOG'!G:G,MATCH(C82,'02_TASK_CATALOG'!A:A,0)))</f>
        <v>0</v>
      </c>
      <c r="G82">
        <f>IF(C82="","",INDEX('02_TASK_CATALOG'!H:H,MATCH(C82,'02_TASK_CATALOG'!A:A,0)))</f>
        <v>0</v>
      </c>
      <c r="H82">
        <f>IF(A82="","",MAX(0,E82-F82-G82))</f>
        <v>0</v>
      </c>
      <c r="I82">
        <f>IF(A82="","",H82*IF('03_EXECUTION_LOG'!H82="",1,'03_EXECUTION_LOG'!H82)/60)</f>
        <v>0</v>
      </c>
      <c r="J82">
        <f>IF(D82="","",INDEX('01_ASSUMPTIONS'!C:C,MATCH(D82,'01_ASSUMPTIONS'!A:A,0)))</f>
        <v>0</v>
      </c>
      <c r="K82">
        <f>IF(OR(A82="",L82&lt;&gt;TRUE),0,I82*J82)</f>
        <v>0</v>
      </c>
      <c r="L82" t="b">
        <f>IF(A82="","",AND('03_EXECUTION_LOG'!F82="success",INDEX('02_TASK_CATALOG'!J:J,MATCH(C82,'02_TASK_CATALOG'!A:A,0))=TRUE,H82&gt;0,J82&gt;0,'03_EXECUTION_LOG'!J82&lt;&gt;""))</f>
        <v>0</v>
      </c>
      <c r="M82" t="str">
        <f>IF(A82="","",IF('03_EXECUTION_LOG'!F82&lt;&gt;"success","non-success status",IF(INDEX('02_TASK_CATALOG'!J:J,MATCH(C82,'02_TASK_CATALOG'!A:A,0))&lt;&gt;TRUE,"task not approved",IF(H82&lt;=0,"no net time saved",IF(J82&lt;=0,"missing labor rate",IF('03_EXECUTION_LOG'!J82="","missing evidence",""))))))</f>
        <v/>
      </c>
      <c r="N82" t="str">
        <f>IF(A82="","",IF(AND(L82=TRUE,'03_EXECUTION_LOG'!I82=FALSE),"high",IF(AND(L82=TRUE,'03_EXECUTION_LOG'!I82=TRUE),"medium","low")))</f>
        <v/>
      </c>
      <c r="O82" t="str">
        <f>IF(A82="","",IF(AND(L82=TRUE,'03_EXECUTION_LOG'!J82&lt;&gt;""),"yes","needs-review"))</f>
        <v/>
      </c>
    </row>
    <row r="83">
      <c r="A83" t="str">
        <f>IF('03_EXECUTION_LOG'!A83="","",'03_EXECUTION_LOG'!A83)</f>
        <v/>
      </c>
      <c r="B83" t="str">
        <f>IF('03_EXECUTION_LOG'!B83="","",LEFT('03_EXECUTION_LOG'!B83,7))</f>
        <v/>
      </c>
      <c r="C83" t="str">
        <f>IF('03_EXECUTION_LOG'!E83="","",'03_EXECUTION_LOG'!E83)</f>
        <v/>
      </c>
      <c r="D83" t="str">
        <f>IF(C83="","",INDEX('02_TASK_CATALOG'!E:E,MATCH(C83,'02_TASK_CATALOG'!A:A,0)))</f>
        <v/>
      </c>
      <c r="E83">
        <f>IF(C83="","",INDEX('02_TASK_CATALOG'!F:F,MATCH(C83,'02_TASK_CATALOG'!A:A,0)))</f>
        <v>0</v>
      </c>
      <c r="F83">
        <f>IF(C83="","",INDEX('02_TASK_CATALOG'!G:G,MATCH(C83,'02_TASK_CATALOG'!A:A,0)))</f>
        <v>0</v>
      </c>
      <c r="G83">
        <f>IF(C83="","",INDEX('02_TASK_CATALOG'!H:H,MATCH(C83,'02_TASK_CATALOG'!A:A,0)))</f>
        <v>0</v>
      </c>
      <c r="H83">
        <f>IF(A83="","",MAX(0,E83-F83-G83))</f>
        <v>0</v>
      </c>
      <c r="I83">
        <f>IF(A83="","",H83*IF('03_EXECUTION_LOG'!H83="",1,'03_EXECUTION_LOG'!H83)/60)</f>
        <v>0</v>
      </c>
      <c r="J83">
        <f>IF(D83="","",INDEX('01_ASSUMPTIONS'!C:C,MATCH(D83,'01_ASSUMPTIONS'!A:A,0)))</f>
        <v>0</v>
      </c>
      <c r="K83">
        <f>IF(OR(A83="",L83&lt;&gt;TRUE),0,I83*J83)</f>
        <v>0</v>
      </c>
      <c r="L83" t="b">
        <f>IF(A83="","",AND('03_EXECUTION_LOG'!F83="success",INDEX('02_TASK_CATALOG'!J:J,MATCH(C83,'02_TASK_CATALOG'!A:A,0))=TRUE,H83&gt;0,J83&gt;0,'03_EXECUTION_LOG'!J83&lt;&gt;""))</f>
        <v>0</v>
      </c>
      <c r="M83" t="str">
        <f>IF(A83="","",IF('03_EXECUTION_LOG'!F83&lt;&gt;"success","non-success status",IF(INDEX('02_TASK_CATALOG'!J:J,MATCH(C83,'02_TASK_CATALOG'!A:A,0))&lt;&gt;TRUE,"task not approved",IF(H83&lt;=0,"no net time saved",IF(J83&lt;=0,"missing labor rate",IF('03_EXECUTION_LOG'!J83="","missing evidence",""))))))</f>
        <v/>
      </c>
      <c r="N83" t="str">
        <f>IF(A83="","",IF(AND(L83=TRUE,'03_EXECUTION_LOG'!I83=FALSE),"high",IF(AND(L83=TRUE,'03_EXECUTION_LOG'!I83=TRUE),"medium","low")))</f>
        <v/>
      </c>
      <c r="O83" t="str">
        <f>IF(A83="","",IF(AND(L83=TRUE,'03_EXECUTION_LOG'!J83&lt;&gt;""),"yes","needs-review"))</f>
        <v/>
      </c>
    </row>
    <row r="84">
      <c r="A84" t="str">
        <f>IF('03_EXECUTION_LOG'!A84="","",'03_EXECUTION_LOG'!A84)</f>
        <v/>
      </c>
      <c r="B84" t="str">
        <f>IF('03_EXECUTION_LOG'!B84="","",LEFT('03_EXECUTION_LOG'!B84,7))</f>
        <v/>
      </c>
      <c r="C84" t="str">
        <f>IF('03_EXECUTION_LOG'!E84="","",'03_EXECUTION_LOG'!E84)</f>
        <v/>
      </c>
      <c r="D84" t="str">
        <f>IF(C84="","",INDEX('02_TASK_CATALOG'!E:E,MATCH(C84,'02_TASK_CATALOG'!A:A,0)))</f>
        <v/>
      </c>
      <c r="E84">
        <f>IF(C84="","",INDEX('02_TASK_CATALOG'!F:F,MATCH(C84,'02_TASK_CATALOG'!A:A,0)))</f>
        <v>0</v>
      </c>
      <c r="F84">
        <f>IF(C84="","",INDEX('02_TASK_CATALOG'!G:G,MATCH(C84,'02_TASK_CATALOG'!A:A,0)))</f>
        <v>0</v>
      </c>
      <c r="G84">
        <f>IF(C84="","",INDEX('02_TASK_CATALOG'!H:H,MATCH(C84,'02_TASK_CATALOG'!A:A,0)))</f>
        <v>0</v>
      </c>
      <c r="H84">
        <f>IF(A84="","",MAX(0,E84-F84-G84))</f>
        <v>0</v>
      </c>
      <c r="I84">
        <f>IF(A84="","",H84*IF('03_EXECUTION_LOG'!H84="",1,'03_EXECUTION_LOG'!H84)/60)</f>
        <v>0</v>
      </c>
      <c r="J84">
        <f>IF(D84="","",INDEX('01_ASSUMPTIONS'!C:C,MATCH(D84,'01_ASSUMPTIONS'!A:A,0)))</f>
        <v>0</v>
      </c>
      <c r="K84">
        <f>IF(OR(A84="",L84&lt;&gt;TRUE),0,I84*J84)</f>
        <v>0</v>
      </c>
      <c r="L84" t="b">
        <f>IF(A84="","",AND('03_EXECUTION_LOG'!F84="success",INDEX('02_TASK_CATALOG'!J:J,MATCH(C84,'02_TASK_CATALOG'!A:A,0))=TRUE,H84&gt;0,J84&gt;0,'03_EXECUTION_LOG'!J84&lt;&gt;""))</f>
        <v>0</v>
      </c>
      <c r="M84" t="str">
        <f>IF(A84="","",IF('03_EXECUTION_LOG'!F84&lt;&gt;"success","non-success status",IF(INDEX('02_TASK_CATALOG'!J:J,MATCH(C84,'02_TASK_CATALOG'!A:A,0))&lt;&gt;TRUE,"task not approved",IF(H84&lt;=0,"no net time saved",IF(J84&lt;=0,"missing labor rate",IF('03_EXECUTION_LOG'!J84="","missing evidence",""))))))</f>
        <v/>
      </c>
      <c r="N84" t="str">
        <f>IF(A84="","",IF(AND(L84=TRUE,'03_EXECUTION_LOG'!I84=FALSE),"high",IF(AND(L84=TRUE,'03_EXECUTION_LOG'!I84=TRUE),"medium","low")))</f>
        <v/>
      </c>
      <c r="O84" t="str">
        <f>IF(A84="","",IF(AND(L84=TRUE,'03_EXECUTION_LOG'!J84&lt;&gt;""),"yes","needs-review"))</f>
        <v/>
      </c>
    </row>
    <row r="85">
      <c r="A85" t="str">
        <f>IF('03_EXECUTION_LOG'!A85="","",'03_EXECUTION_LOG'!A85)</f>
        <v/>
      </c>
      <c r="B85" t="str">
        <f>IF('03_EXECUTION_LOG'!B85="","",LEFT('03_EXECUTION_LOG'!B85,7))</f>
        <v/>
      </c>
      <c r="C85" t="str">
        <f>IF('03_EXECUTION_LOG'!E85="","",'03_EXECUTION_LOG'!E85)</f>
        <v/>
      </c>
      <c r="D85" t="str">
        <f>IF(C85="","",INDEX('02_TASK_CATALOG'!E:E,MATCH(C85,'02_TASK_CATALOG'!A:A,0)))</f>
        <v/>
      </c>
      <c r="E85">
        <f>IF(C85="","",INDEX('02_TASK_CATALOG'!F:F,MATCH(C85,'02_TASK_CATALOG'!A:A,0)))</f>
        <v>0</v>
      </c>
      <c r="F85">
        <f>IF(C85="","",INDEX('02_TASK_CATALOG'!G:G,MATCH(C85,'02_TASK_CATALOG'!A:A,0)))</f>
        <v>0</v>
      </c>
      <c r="G85">
        <f>IF(C85="","",INDEX('02_TASK_CATALOG'!H:H,MATCH(C85,'02_TASK_CATALOG'!A:A,0)))</f>
        <v>0</v>
      </c>
      <c r="H85">
        <f>IF(A85="","",MAX(0,E85-F85-G85))</f>
        <v>0</v>
      </c>
      <c r="I85">
        <f>IF(A85="","",H85*IF('03_EXECUTION_LOG'!H85="",1,'03_EXECUTION_LOG'!H85)/60)</f>
        <v>0</v>
      </c>
      <c r="J85">
        <f>IF(D85="","",INDEX('01_ASSUMPTIONS'!C:C,MATCH(D85,'01_ASSUMPTIONS'!A:A,0)))</f>
        <v>0</v>
      </c>
      <c r="K85">
        <f>IF(OR(A85="",L85&lt;&gt;TRUE),0,I85*J85)</f>
        <v>0</v>
      </c>
      <c r="L85" t="b">
        <f>IF(A85="","",AND('03_EXECUTION_LOG'!F85="success",INDEX('02_TASK_CATALOG'!J:J,MATCH(C85,'02_TASK_CATALOG'!A:A,0))=TRUE,H85&gt;0,J85&gt;0,'03_EXECUTION_LOG'!J85&lt;&gt;""))</f>
        <v>0</v>
      </c>
      <c r="M85" t="str">
        <f>IF(A85="","",IF('03_EXECUTION_LOG'!F85&lt;&gt;"success","non-success status",IF(INDEX('02_TASK_CATALOG'!J:J,MATCH(C85,'02_TASK_CATALOG'!A:A,0))&lt;&gt;TRUE,"task not approved",IF(H85&lt;=0,"no net time saved",IF(J85&lt;=0,"missing labor rate",IF('03_EXECUTION_LOG'!J85="","missing evidence",""))))))</f>
        <v/>
      </c>
      <c r="N85" t="str">
        <f>IF(A85="","",IF(AND(L85=TRUE,'03_EXECUTION_LOG'!I85=FALSE),"high",IF(AND(L85=TRUE,'03_EXECUTION_LOG'!I85=TRUE),"medium","low")))</f>
        <v/>
      </c>
      <c r="O85" t="str">
        <f>IF(A85="","",IF(AND(L85=TRUE,'03_EXECUTION_LOG'!J85&lt;&gt;""),"yes","needs-review"))</f>
        <v/>
      </c>
    </row>
    <row r="86">
      <c r="A86" t="str">
        <f>IF('03_EXECUTION_LOG'!A86="","",'03_EXECUTION_LOG'!A86)</f>
        <v/>
      </c>
      <c r="B86" t="str">
        <f>IF('03_EXECUTION_LOG'!B86="","",LEFT('03_EXECUTION_LOG'!B86,7))</f>
        <v/>
      </c>
      <c r="C86" t="str">
        <f>IF('03_EXECUTION_LOG'!E86="","",'03_EXECUTION_LOG'!E86)</f>
        <v/>
      </c>
      <c r="D86" t="str">
        <f>IF(C86="","",INDEX('02_TASK_CATALOG'!E:E,MATCH(C86,'02_TASK_CATALOG'!A:A,0)))</f>
        <v/>
      </c>
      <c r="E86">
        <f>IF(C86="","",INDEX('02_TASK_CATALOG'!F:F,MATCH(C86,'02_TASK_CATALOG'!A:A,0)))</f>
        <v>0</v>
      </c>
      <c r="F86">
        <f>IF(C86="","",INDEX('02_TASK_CATALOG'!G:G,MATCH(C86,'02_TASK_CATALOG'!A:A,0)))</f>
        <v>0</v>
      </c>
      <c r="G86">
        <f>IF(C86="","",INDEX('02_TASK_CATALOG'!H:H,MATCH(C86,'02_TASK_CATALOG'!A:A,0)))</f>
        <v>0</v>
      </c>
      <c r="H86">
        <f>IF(A86="","",MAX(0,E86-F86-G86))</f>
        <v>0</v>
      </c>
      <c r="I86">
        <f>IF(A86="","",H86*IF('03_EXECUTION_LOG'!H86="",1,'03_EXECUTION_LOG'!H86)/60)</f>
        <v>0</v>
      </c>
      <c r="J86">
        <f>IF(D86="","",INDEX('01_ASSUMPTIONS'!C:C,MATCH(D86,'01_ASSUMPTIONS'!A:A,0)))</f>
        <v>0</v>
      </c>
      <c r="K86">
        <f>IF(OR(A86="",L86&lt;&gt;TRUE),0,I86*J86)</f>
        <v>0</v>
      </c>
      <c r="L86" t="b">
        <f>IF(A86="","",AND('03_EXECUTION_LOG'!F86="success",INDEX('02_TASK_CATALOG'!J:J,MATCH(C86,'02_TASK_CATALOG'!A:A,0))=TRUE,H86&gt;0,J86&gt;0,'03_EXECUTION_LOG'!J86&lt;&gt;""))</f>
        <v>0</v>
      </c>
      <c r="M86" t="str">
        <f>IF(A86="","",IF('03_EXECUTION_LOG'!F86&lt;&gt;"success","non-success status",IF(INDEX('02_TASK_CATALOG'!J:J,MATCH(C86,'02_TASK_CATALOG'!A:A,0))&lt;&gt;TRUE,"task not approved",IF(H86&lt;=0,"no net time saved",IF(J86&lt;=0,"missing labor rate",IF('03_EXECUTION_LOG'!J86="","missing evidence",""))))))</f>
        <v/>
      </c>
      <c r="N86" t="str">
        <f>IF(A86="","",IF(AND(L86=TRUE,'03_EXECUTION_LOG'!I86=FALSE),"high",IF(AND(L86=TRUE,'03_EXECUTION_LOG'!I86=TRUE),"medium","low")))</f>
        <v/>
      </c>
      <c r="O86" t="str">
        <f>IF(A86="","",IF(AND(L86=TRUE,'03_EXECUTION_LOG'!J86&lt;&gt;""),"yes","needs-review"))</f>
        <v/>
      </c>
    </row>
    <row r="87">
      <c r="A87" t="str">
        <f>IF('03_EXECUTION_LOG'!A87="","",'03_EXECUTION_LOG'!A87)</f>
        <v/>
      </c>
      <c r="B87" t="str">
        <f>IF('03_EXECUTION_LOG'!B87="","",LEFT('03_EXECUTION_LOG'!B87,7))</f>
        <v/>
      </c>
      <c r="C87" t="str">
        <f>IF('03_EXECUTION_LOG'!E87="","",'03_EXECUTION_LOG'!E87)</f>
        <v/>
      </c>
      <c r="D87" t="str">
        <f>IF(C87="","",INDEX('02_TASK_CATALOG'!E:E,MATCH(C87,'02_TASK_CATALOG'!A:A,0)))</f>
        <v/>
      </c>
      <c r="E87">
        <f>IF(C87="","",INDEX('02_TASK_CATALOG'!F:F,MATCH(C87,'02_TASK_CATALOG'!A:A,0)))</f>
        <v>0</v>
      </c>
      <c r="F87">
        <f>IF(C87="","",INDEX('02_TASK_CATALOG'!G:G,MATCH(C87,'02_TASK_CATALOG'!A:A,0)))</f>
        <v>0</v>
      </c>
      <c r="G87">
        <f>IF(C87="","",INDEX('02_TASK_CATALOG'!H:H,MATCH(C87,'02_TASK_CATALOG'!A:A,0)))</f>
        <v>0</v>
      </c>
      <c r="H87">
        <f>IF(A87="","",MAX(0,E87-F87-G87))</f>
        <v>0</v>
      </c>
      <c r="I87">
        <f>IF(A87="","",H87*IF('03_EXECUTION_LOG'!H87="",1,'03_EXECUTION_LOG'!H87)/60)</f>
        <v>0</v>
      </c>
      <c r="J87">
        <f>IF(D87="","",INDEX('01_ASSUMPTIONS'!C:C,MATCH(D87,'01_ASSUMPTIONS'!A:A,0)))</f>
        <v>0</v>
      </c>
      <c r="K87">
        <f>IF(OR(A87="",L87&lt;&gt;TRUE),0,I87*J87)</f>
        <v>0</v>
      </c>
      <c r="L87" t="b">
        <f>IF(A87="","",AND('03_EXECUTION_LOG'!F87="success",INDEX('02_TASK_CATALOG'!J:J,MATCH(C87,'02_TASK_CATALOG'!A:A,0))=TRUE,H87&gt;0,J87&gt;0,'03_EXECUTION_LOG'!J87&lt;&gt;""))</f>
        <v>0</v>
      </c>
      <c r="M87" t="str">
        <f>IF(A87="","",IF('03_EXECUTION_LOG'!F87&lt;&gt;"success","non-success status",IF(INDEX('02_TASK_CATALOG'!J:J,MATCH(C87,'02_TASK_CATALOG'!A:A,0))&lt;&gt;TRUE,"task not approved",IF(H87&lt;=0,"no net time saved",IF(J87&lt;=0,"missing labor rate",IF('03_EXECUTION_LOG'!J87="","missing evidence",""))))))</f>
        <v/>
      </c>
      <c r="N87" t="str">
        <f>IF(A87="","",IF(AND(L87=TRUE,'03_EXECUTION_LOG'!I87=FALSE),"high",IF(AND(L87=TRUE,'03_EXECUTION_LOG'!I87=TRUE),"medium","low")))</f>
        <v/>
      </c>
      <c r="O87" t="str">
        <f>IF(A87="","",IF(AND(L87=TRUE,'03_EXECUTION_LOG'!J87&lt;&gt;""),"yes","needs-review"))</f>
        <v/>
      </c>
    </row>
    <row r="88">
      <c r="A88" t="str">
        <f>IF('03_EXECUTION_LOG'!A88="","",'03_EXECUTION_LOG'!A88)</f>
        <v/>
      </c>
      <c r="B88" t="str">
        <f>IF('03_EXECUTION_LOG'!B88="","",LEFT('03_EXECUTION_LOG'!B88,7))</f>
        <v/>
      </c>
      <c r="C88" t="str">
        <f>IF('03_EXECUTION_LOG'!E88="","",'03_EXECUTION_LOG'!E88)</f>
        <v/>
      </c>
      <c r="D88" t="str">
        <f>IF(C88="","",INDEX('02_TASK_CATALOG'!E:E,MATCH(C88,'02_TASK_CATALOG'!A:A,0)))</f>
        <v/>
      </c>
      <c r="E88">
        <f>IF(C88="","",INDEX('02_TASK_CATALOG'!F:F,MATCH(C88,'02_TASK_CATALOG'!A:A,0)))</f>
        <v>0</v>
      </c>
      <c r="F88">
        <f>IF(C88="","",INDEX('02_TASK_CATALOG'!G:G,MATCH(C88,'02_TASK_CATALOG'!A:A,0)))</f>
        <v>0</v>
      </c>
      <c r="G88">
        <f>IF(C88="","",INDEX('02_TASK_CATALOG'!H:H,MATCH(C88,'02_TASK_CATALOG'!A:A,0)))</f>
        <v>0</v>
      </c>
      <c r="H88">
        <f>IF(A88="","",MAX(0,E88-F88-G88))</f>
        <v>0</v>
      </c>
      <c r="I88">
        <f>IF(A88="","",H88*IF('03_EXECUTION_LOG'!H88="",1,'03_EXECUTION_LOG'!H88)/60)</f>
        <v>0</v>
      </c>
      <c r="J88">
        <f>IF(D88="","",INDEX('01_ASSUMPTIONS'!C:C,MATCH(D88,'01_ASSUMPTIONS'!A:A,0)))</f>
        <v>0</v>
      </c>
      <c r="K88">
        <f>IF(OR(A88="",L88&lt;&gt;TRUE),0,I88*J88)</f>
        <v>0</v>
      </c>
      <c r="L88" t="b">
        <f>IF(A88="","",AND('03_EXECUTION_LOG'!F88="success",INDEX('02_TASK_CATALOG'!J:J,MATCH(C88,'02_TASK_CATALOG'!A:A,0))=TRUE,H88&gt;0,J88&gt;0,'03_EXECUTION_LOG'!J88&lt;&gt;""))</f>
        <v>0</v>
      </c>
      <c r="M88" t="str">
        <f>IF(A88="","",IF('03_EXECUTION_LOG'!F88&lt;&gt;"success","non-success status",IF(INDEX('02_TASK_CATALOG'!J:J,MATCH(C88,'02_TASK_CATALOG'!A:A,0))&lt;&gt;TRUE,"task not approved",IF(H88&lt;=0,"no net time saved",IF(J88&lt;=0,"missing labor rate",IF('03_EXECUTION_LOG'!J88="","missing evidence",""))))))</f>
        <v/>
      </c>
      <c r="N88" t="str">
        <f>IF(A88="","",IF(AND(L88=TRUE,'03_EXECUTION_LOG'!I88=FALSE),"high",IF(AND(L88=TRUE,'03_EXECUTION_LOG'!I88=TRUE),"medium","low")))</f>
        <v/>
      </c>
      <c r="O88" t="str">
        <f>IF(A88="","",IF(AND(L88=TRUE,'03_EXECUTION_LOG'!J88&lt;&gt;""),"yes","needs-review"))</f>
        <v/>
      </c>
    </row>
    <row r="89">
      <c r="A89" t="str">
        <f>IF('03_EXECUTION_LOG'!A89="","",'03_EXECUTION_LOG'!A89)</f>
        <v/>
      </c>
      <c r="B89" t="str">
        <f>IF('03_EXECUTION_LOG'!B89="","",LEFT('03_EXECUTION_LOG'!B89,7))</f>
        <v/>
      </c>
      <c r="C89" t="str">
        <f>IF('03_EXECUTION_LOG'!E89="","",'03_EXECUTION_LOG'!E89)</f>
        <v/>
      </c>
      <c r="D89" t="str">
        <f>IF(C89="","",INDEX('02_TASK_CATALOG'!E:E,MATCH(C89,'02_TASK_CATALOG'!A:A,0)))</f>
        <v/>
      </c>
      <c r="E89">
        <f>IF(C89="","",INDEX('02_TASK_CATALOG'!F:F,MATCH(C89,'02_TASK_CATALOG'!A:A,0)))</f>
        <v>0</v>
      </c>
      <c r="F89">
        <f>IF(C89="","",INDEX('02_TASK_CATALOG'!G:G,MATCH(C89,'02_TASK_CATALOG'!A:A,0)))</f>
        <v>0</v>
      </c>
      <c r="G89">
        <f>IF(C89="","",INDEX('02_TASK_CATALOG'!H:H,MATCH(C89,'02_TASK_CATALOG'!A:A,0)))</f>
        <v>0</v>
      </c>
      <c r="H89">
        <f>IF(A89="","",MAX(0,E89-F89-G89))</f>
        <v>0</v>
      </c>
      <c r="I89">
        <f>IF(A89="","",H89*IF('03_EXECUTION_LOG'!H89="",1,'03_EXECUTION_LOG'!H89)/60)</f>
        <v>0</v>
      </c>
      <c r="J89">
        <f>IF(D89="","",INDEX('01_ASSUMPTIONS'!C:C,MATCH(D89,'01_ASSUMPTIONS'!A:A,0)))</f>
        <v>0</v>
      </c>
      <c r="K89">
        <f>IF(OR(A89="",L89&lt;&gt;TRUE),0,I89*J89)</f>
        <v>0</v>
      </c>
      <c r="L89" t="b">
        <f>IF(A89="","",AND('03_EXECUTION_LOG'!F89="success",INDEX('02_TASK_CATALOG'!J:J,MATCH(C89,'02_TASK_CATALOG'!A:A,0))=TRUE,H89&gt;0,J89&gt;0,'03_EXECUTION_LOG'!J89&lt;&gt;""))</f>
        <v>0</v>
      </c>
      <c r="M89" t="str">
        <f>IF(A89="","",IF('03_EXECUTION_LOG'!F89&lt;&gt;"success","non-success status",IF(INDEX('02_TASK_CATALOG'!J:J,MATCH(C89,'02_TASK_CATALOG'!A:A,0))&lt;&gt;TRUE,"task not approved",IF(H89&lt;=0,"no net time saved",IF(J89&lt;=0,"missing labor rate",IF('03_EXECUTION_LOG'!J89="","missing evidence",""))))))</f>
        <v/>
      </c>
      <c r="N89" t="str">
        <f>IF(A89="","",IF(AND(L89=TRUE,'03_EXECUTION_LOG'!I89=FALSE),"high",IF(AND(L89=TRUE,'03_EXECUTION_LOG'!I89=TRUE),"medium","low")))</f>
        <v/>
      </c>
      <c r="O89" t="str">
        <f>IF(A89="","",IF(AND(L89=TRUE,'03_EXECUTION_LOG'!J89&lt;&gt;""),"yes","needs-review"))</f>
        <v/>
      </c>
    </row>
    <row r="90">
      <c r="A90" t="str">
        <f>IF('03_EXECUTION_LOG'!A90="","",'03_EXECUTION_LOG'!A90)</f>
        <v/>
      </c>
      <c r="B90" t="str">
        <f>IF('03_EXECUTION_LOG'!B90="","",LEFT('03_EXECUTION_LOG'!B90,7))</f>
        <v/>
      </c>
      <c r="C90" t="str">
        <f>IF('03_EXECUTION_LOG'!E90="","",'03_EXECUTION_LOG'!E90)</f>
        <v/>
      </c>
      <c r="D90" t="str">
        <f>IF(C90="","",INDEX('02_TASK_CATALOG'!E:E,MATCH(C90,'02_TASK_CATALOG'!A:A,0)))</f>
        <v/>
      </c>
      <c r="E90">
        <f>IF(C90="","",INDEX('02_TASK_CATALOG'!F:F,MATCH(C90,'02_TASK_CATALOG'!A:A,0)))</f>
        <v>0</v>
      </c>
      <c r="F90">
        <f>IF(C90="","",INDEX('02_TASK_CATALOG'!G:G,MATCH(C90,'02_TASK_CATALOG'!A:A,0)))</f>
        <v>0</v>
      </c>
      <c r="G90">
        <f>IF(C90="","",INDEX('02_TASK_CATALOG'!H:H,MATCH(C90,'02_TASK_CATALOG'!A:A,0)))</f>
        <v>0</v>
      </c>
      <c r="H90">
        <f>IF(A90="","",MAX(0,E90-F90-G90))</f>
        <v>0</v>
      </c>
      <c r="I90">
        <f>IF(A90="","",H90*IF('03_EXECUTION_LOG'!H90="",1,'03_EXECUTION_LOG'!H90)/60)</f>
        <v>0</v>
      </c>
      <c r="J90">
        <f>IF(D90="","",INDEX('01_ASSUMPTIONS'!C:C,MATCH(D90,'01_ASSUMPTIONS'!A:A,0)))</f>
        <v>0</v>
      </c>
      <c r="K90">
        <f>IF(OR(A90="",L90&lt;&gt;TRUE),0,I90*J90)</f>
        <v>0</v>
      </c>
      <c r="L90" t="b">
        <f>IF(A90="","",AND('03_EXECUTION_LOG'!F90="success",INDEX('02_TASK_CATALOG'!J:J,MATCH(C90,'02_TASK_CATALOG'!A:A,0))=TRUE,H90&gt;0,J90&gt;0,'03_EXECUTION_LOG'!J90&lt;&gt;""))</f>
        <v>0</v>
      </c>
      <c r="M90" t="str">
        <f>IF(A90="","",IF('03_EXECUTION_LOG'!F90&lt;&gt;"success","non-success status",IF(INDEX('02_TASK_CATALOG'!J:J,MATCH(C90,'02_TASK_CATALOG'!A:A,0))&lt;&gt;TRUE,"task not approved",IF(H90&lt;=0,"no net time saved",IF(J90&lt;=0,"missing labor rate",IF('03_EXECUTION_LOG'!J90="","missing evidence",""))))))</f>
        <v/>
      </c>
      <c r="N90" t="str">
        <f>IF(A90="","",IF(AND(L90=TRUE,'03_EXECUTION_LOG'!I90=FALSE),"high",IF(AND(L90=TRUE,'03_EXECUTION_LOG'!I90=TRUE),"medium","low")))</f>
        <v/>
      </c>
      <c r="O90" t="str">
        <f>IF(A90="","",IF(AND(L90=TRUE,'03_EXECUTION_LOG'!J90&lt;&gt;""),"yes","needs-review"))</f>
        <v/>
      </c>
    </row>
    <row r="91">
      <c r="A91" t="str">
        <f>IF('03_EXECUTION_LOG'!A91="","",'03_EXECUTION_LOG'!A91)</f>
        <v/>
      </c>
      <c r="B91" t="str">
        <f>IF('03_EXECUTION_LOG'!B91="","",LEFT('03_EXECUTION_LOG'!B91,7))</f>
        <v/>
      </c>
      <c r="C91" t="str">
        <f>IF('03_EXECUTION_LOG'!E91="","",'03_EXECUTION_LOG'!E91)</f>
        <v/>
      </c>
      <c r="D91" t="str">
        <f>IF(C91="","",INDEX('02_TASK_CATALOG'!E:E,MATCH(C91,'02_TASK_CATALOG'!A:A,0)))</f>
        <v/>
      </c>
      <c r="E91">
        <f>IF(C91="","",INDEX('02_TASK_CATALOG'!F:F,MATCH(C91,'02_TASK_CATALOG'!A:A,0)))</f>
        <v>0</v>
      </c>
      <c r="F91">
        <f>IF(C91="","",INDEX('02_TASK_CATALOG'!G:G,MATCH(C91,'02_TASK_CATALOG'!A:A,0)))</f>
        <v>0</v>
      </c>
      <c r="G91">
        <f>IF(C91="","",INDEX('02_TASK_CATALOG'!H:H,MATCH(C91,'02_TASK_CATALOG'!A:A,0)))</f>
        <v>0</v>
      </c>
      <c r="H91">
        <f>IF(A91="","",MAX(0,E91-F91-G91))</f>
        <v>0</v>
      </c>
      <c r="I91">
        <f>IF(A91="","",H91*IF('03_EXECUTION_LOG'!H91="",1,'03_EXECUTION_LOG'!H91)/60)</f>
        <v>0</v>
      </c>
      <c r="J91">
        <f>IF(D91="","",INDEX('01_ASSUMPTIONS'!C:C,MATCH(D91,'01_ASSUMPTIONS'!A:A,0)))</f>
        <v>0</v>
      </c>
      <c r="K91">
        <f>IF(OR(A91="",L91&lt;&gt;TRUE),0,I91*J91)</f>
        <v>0</v>
      </c>
      <c r="L91" t="b">
        <f>IF(A91="","",AND('03_EXECUTION_LOG'!F91="success",INDEX('02_TASK_CATALOG'!J:J,MATCH(C91,'02_TASK_CATALOG'!A:A,0))=TRUE,H91&gt;0,J91&gt;0,'03_EXECUTION_LOG'!J91&lt;&gt;""))</f>
        <v>0</v>
      </c>
      <c r="M91" t="str">
        <f>IF(A91="","",IF('03_EXECUTION_LOG'!F91&lt;&gt;"success","non-success status",IF(INDEX('02_TASK_CATALOG'!J:J,MATCH(C91,'02_TASK_CATALOG'!A:A,0))&lt;&gt;TRUE,"task not approved",IF(H91&lt;=0,"no net time saved",IF(J91&lt;=0,"missing labor rate",IF('03_EXECUTION_LOG'!J91="","missing evidence",""))))))</f>
        <v/>
      </c>
      <c r="N91" t="str">
        <f>IF(A91="","",IF(AND(L91=TRUE,'03_EXECUTION_LOG'!I91=FALSE),"high",IF(AND(L91=TRUE,'03_EXECUTION_LOG'!I91=TRUE),"medium","low")))</f>
        <v/>
      </c>
      <c r="O91" t="str">
        <f>IF(A91="","",IF(AND(L91=TRUE,'03_EXECUTION_LOG'!J91&lt;&gt;""),"yes","needs-review"))</f>
        <v/>
      </c>
    </row>
    <row r="92">
      <c r="A92" t="str">
        <f>IF('03_EXECUTION_LOG'!A92="","",'03_EXECUTION_LOG'!A92)</f>
        <v/>
      </c>
      <c r="B92" t="str">
        <f>IF('03_EXECUTION_LOG'!B92="","",LEFT('03_EXECUTION_LOG'!B92,7))</f>
        <v/>
      </c>
      <c r="C92" t="str">
        <f>IF('03_EXECUTION_LOG'!E92="","",'03_EXECUTION_LOG'!E92)</f>
        <v/>
      </c>
      <c r="D92" t="str">
        <f>IF(C92="","",INDEX('02_TASK_CATALOG'!E:E,MATCH(C92,'02_TASK_CATALOG'!A:A,0)))</f>
        <v/>
      </c>
      <c r="E92">
        <f>IF(C92="","",INDEX('02_TASK_CATALOG'!F:F,MATCH(C92,'02_TASK_CATALOG'!A:A,0)))</f>
        <v>0</v>
      </c>
      <c r="F92">
        <f>IF(C92="","",INDEX('02_TASK_CATALOG'!G:G,MATCH(C92,'02_TASK_CATALOG'!A:A,0)))</f>
        <v>0</v>
      </c>
      <c r="G92">
        <f>IF(C92="","",INDEX('02_TASK_CATALOG'!H:H,MATCH(C92,'02_TASK_CATALOG'!A:A,0)))</f>
        <v>0</v>
      </c>
      <c r="H92">
        <f>IF(A92="","",MAX(0,E92-F92-G92))</f>
        <v>0</v>
      </c>
      <c r="I92">
        <f>IF(A92="","",H92*IF('03_EXECUTION_LOG'!H92="",1,'03_EXECUTION_LOG'!H92)/60)</f>
        <v>0</v>
      </c>
      <c r="J92">
        <f>IF(D92="","",INDEX('01_ASSUMPTIONS'!C:C,MATCH(D92,'01_ASSUMPTIONS'!A:A,0)))</f>
        <v>0</v>
      </c>
      <c r="K92">
        <f>IF(OR(A92="",L92&lt;&gt;TRUE),0,I92*J92)</f>
        <v>0</v>
      </c>
      <c r="L92" t="b">
        <f>IF(A92="","",AND('03_EXECUTION_LOG'!F92="success",INDEX('02_TASK_CATALOG'!J:J,MATCH(C92,'02_TASK_CATALOG'!A:A,0))=TRUE,H92&gt;0,J92&gt;0,'03_EXECUTION_LOG'!J92&lt;&gt;""))</f>
        <v>0</v>
      </c>
      <c r="M92" t="str">
        <f>IF(A92="","",IF('03_EXECUTION_LOG'!F92&lt;&gt;"success","non-success status",IF(INDEX('02_TASK_CATALOG'!J:J,MATCH(C92,'02_TASK_CATALOG'!A:A,0))&lt;&gt;TRUE,"task not approved",IF(H92&lt;=0,"no net time saved",IF(J92&lt;=0,"missing labor rate",IF('03_EXECUTION_LOG'!J92="","missing evidence",""))))))</f>
        <v/>
      </c>
      <c r="N92" t="str">
        <f>IF(A92="","",IF(AND(L92=TRUE,'03_EXECUTION_LOG'!I92=FALSE),"high",IF(AND(L92=TRUE,'03_EXECUTION_LOG'!I92=TRUE),"medium","low")))</f>
        <v/>
      </c>
      <c r="O92" t="str">
        <f>IF(A92="","",IF(AND(L92=TRUE,'03_EXECUTION_LOG'!J92&lt;&gt;""),"yes","needs-review"))</f>
        <v/>
      </c>
    </row>
    <row r="93">
      <c r="A93" t="str">
        <f>IF('03_EXECUTION_LOG'!A93="","",'03_EXECUTION_LOG'!A93)</f>
        <v/>
      </c>
      <c r="B93" t="str">
        <f>IF('03_EXECUTION_LOG'!B93="","",LEFT('03_EXECUTION_LOG'!B93,7))</f>
        <v/>
      </c>
      <c r="C93" t="str">
        <f>IF('03_EXECUTION_LOG'!E93="","",'03_EXECUTION_LOG'!E93)</f>
        <v/>
      </c>
      <c r="D93" t="str">
        <f>IF(C93="","",INDEX('02_TASK_CATALOG'!E:E,MATCH(C93,'02_TASK_CATALOG'!A:A,0)))</f>
        <v/>
      </c>
      <c r="E93">
        <f>IF(C93="","",INDEX('02_TASK_CATALOG'!F:F,MATCH(C93,'02_TASK_CATALOG'!A:A,0)))</f>
        <v>0</v>
      </c>
      <c r="F93">
        <f>IF(C93="","",INDEX('02_TASK_CATALOG'!G:G,MATCH(C93,'02_TASK_CATALOG'!A:A,0)))</f>
        <v>0</v>
      </c>
      <c r="G93">
        <f>IF(C93="","",INDEX('02_TASK_CATALOG'!H:H,MATCH(C93,'02_TASK_CATALOG'!A:A,0)))</f>
        <v>0</v>
      </c>
      <c r="H93">
        <f>IF(A93="","",MAX(0,E93-F93-G93))</f>
        <v>0</v>
      </c>
      <c r="I93">
        <f>IF(A93="","",H93*IF('03_EXECUTION_LOG'!H93="",1,'03_EXECUTION_LOG'!H93)/60)</f>
        <v>0</v>
      </c>
      <c r="J93">
        <f>IF(D93="","",INDEX('01_ASSUMPTIONS'!C:C,MATCH(D93,'01_ASSUMPTIONS'!A:A,0)))</f>
        <v>0</v>
      </c>
      <c r="K93">
        <f>IF(OR(A93="",L93&lt;&gt;TRUE),0,I93*J93)</f>
        <v>0</v>
      </c>
      <c r="L93" t="b">
        <f>IF(A93="","",AND('03_EXECUTION_LOG'!F93="success",INDEX('02_TASK_CATALOG'!J:J,MATCH(C93,'02_TASK_CATALOG'!A:A,0))=TRUE,H93&gt;0,J93&gt;0,'03_EXECUTION_LOG'!J93&lt;&gt;""))</f>
        <v>0</v>
      </c>
      <c r="M93" t="str">
        <f>IF(A93="","",IF('03_EXECUTION_LOG'!F93&lt;&gt;"success","non-success status",IF(INDEX('02_TASK_CATALOG'!J:J,MATCH(C93,'02_TASK_CATALOG'!A:A,0))&lt;&gt;TRUE,"task not approved",IF(H93&lt;=0,"no net time saved",IF(J93&lt;=0,"missing labor rate",IF('03_EXECUTION_LOG'!J93="","missing evidence",""))))))</f>
        <v/>
      </c>
      <c r="N93" t="str">
        <f>IF(A93="","",IF(AND(L93=TRUE,'03_EXECUTION_LOG'!I93=FALSE),"high",IF(AND(L93=TRUE,'03_EXECUTION_LOG'!I93=TRUE),"medium","low")))</f>
        <v/>
      </c>
      <c r="O93" t="str">
        <f>IF(A93="","",IF(AND(L93=TRUE,'03_EXECUTION_LOG'!J93&lt;&gt;""),"yes","needs-review"))</f>
        <v/>
      </c>
    </row>
    <row r="94">
      <c r="A94" t="str">
        <f>IF('03_EXECUTION_LOG'!A94="","",'03_EXECUTION_LOG'!A94)</f>
        <v/>
      </c>
      <c r="B94" t="str">
        <f>IF('03_EXECUTION_LOG'!B94="","",LEFT('03_EXECUTION_LOG'!B94,7))</f>
        <v/>
      </c>
      <c r="C94" t="str">
        <f>IF('03_EXECUTION_LOG'!E94="","",'03_EXECUTION_LOG'!E94)</f>
        <v/>
      </c>
      <c r="D94" t="str">
        <f>IF(C94="","",INDEX('02_TASK_CATALOG'!E:E,MATCH(C94,'02_TASK_CATALOG'!A:A,0)))</f>
        <v/>
      </c>
      <c r="E94">
        <f>IF(C94="","",INDEX('02_TASK_CATALOG'!F:F,MATCH(C94,'02_TASK_CATALOG'!A:A,0)))</f>
        <v>0</v>
      </c>
      <c r="F94">
        <f>IF(C94="","",INDEX('02_TASK_CATALOG'!G:G,MATCH(C94,'02_TASK_CATALOG'!A:A,0)))</f>
        <v>0</v>
      </c>
      <c r="G94">
        <f>IF(C94="","",INDEX('02_TASK_CATALOG'!H:H,MATCH(C94,'02_TASK_CATALOG'!A:A,0)))</f>
        <v>0</v>
      </c>
      <c r="H94">
        <f>IF(A94="","",MAX(0,E94-F94-G94))</f>
        <v>0</v>
      </c>
      <c r="I94">
        <f>IF(A94="","",H94*IF('03_EXECUTION_LOG'!H94="",1,'03_EXECUTION_LOG'!H94)/60)</f>
        <v>0</v>
      </c>
      <c r="J94">
        <f>IF(D94="","",INDEX('01_ASSUMPTIONS'!C:C,MATCH(D94,'01_ASSUMPTIONS'!A:A,0)))</f>
        <v>0</v>
      </c>
      <c r="K94">
        <f>IF(OR(A94="",L94&lt;&gt;TRUE),0,I94*J94)</f>
        <v>0</v>
      </c>
      <c r="L94" t="b">
        <f>IF(A94="","",AND('03_EXECUTION_LOG'!F94="success",INDEX('02_TASK_CATALOG'!J:J,MATCH(C94,'02_TASK_CATALOG'!A:A,0))=TRUE,H94&gt;0,J94&gt;0,'03_EXECUTION_LOG'!J94&lt;&gt;""))</f>
        <v>0</v>
      </c>
      <c r="M94" t="str">
        <f>IF(A94="","",IF('03_EXECUTION_LOG'!F94&lt;&gt;"success","non-success status",IF(INDEX('02_TASK_CATALOG'!J:J,MATCH(C94,'02_TASK_CATALOG'!A:A,0))&lt;&gt;TRUE,"task not approved",IF(H94&lt;=0,"no net time saved",IF(J94&lt;=0,"missing labor rate",IF('03_EXECUTION_LOG'!J94="","missing evidence",""))))))</f>
        <v/>
      </c>
      <c r="N94" t="str">
        <f>IF(A94="","",IF(AND(L94=TRUE,'03_EXECUTION_LOG'!I94=FALSE),"high",IF(AND(L94=TRUE,'03_EXECUTION_LOG'!I94=TRUE),"medium","low")))</f>
        <v/>
      </c>
      <c r="O94" t="str">
        <f>IF(A94="","",IF(AND(L94=TRUE,'03_EXECUTION_LOG'!J94&lt;&gt;""),"yes","needs-review"))</f>
        <v/>
      </c>
    </row>
    <row r="95">
      <c r="A95" t="str">
        <f>IF('03_EXECUTION_LOG'!A95="","",'03_EXECUTION_LOG'!A95)</f>
        <v/>
      </c>
      <c r="B95" t="str">
        <f>IF('03_EXECUTION_LOG'!B95="","",LEFT('03_EXECUTION_LOG'!B95,7))</f>
        <v/>
      </c>
      <c r="C95" t="str">
        <f>IF('03_EXECUTION_LOG'!E95="","",'03_EXECUTION_LOG'!E95)</f>
        <v/>
      </c>
      <c r="D95" t="str">
        <f>IF(C95="","",INDEX('02_TASK_CATALOG'!E:E,MATCH(C95,'02_TASK_CATALOG'!A:A,0)))</f>
        <v/>
      </c>
      <c r="E95">
        <f>IF(C95="","",INDEX('02_TASK_CATALOG'!F:F,MATCH(C95,'02_TASK_CATALOG'!A:A,0)))</f>
        <v>0</v>
      </c>
      <c r="F95">
        <f>IF(C95="","",INDEX('02_TASK_CATALOG'!G:G,MATCH(C95,'02_TASK_CATALOG'!A:A,0)))</f>
        <v>0</v>
      </c>
      <c r="G95">
        <f>IF(C95="","",INDEX('02_TASK_CATALOG'!H:H,MATCH(C95,'02_TASK_CATALOG'!A:A,0)))</f>
        <v>0</v>
      </c>
      <c r="H95">
        <f>IF(A95="","",MAX(0,E95-F95-G95))</f>
        <v>0</v>
      </c>
      <c r="I95">
        <f>IF(A95="","",H95*IF('03_EXECUTION_LOG'!H95="",1,'03_EXECUTION_LOG'!H95)/60)</f>
        <v>0</v>
      </c>
      <c r="J95">
        <f>IF(D95="","",INDEX('01_ASSUMPTIONS'!C:C,MATCH(D95,'01_ASSUMPTIONS'!A:A,0)))</f>
        <v>0</v>
      </c>
      <c r="K95">
        <f>IF(OR(A95="",L95&lt;&gt;TRUE),0,I95*J95)</f>
        <v>0</v>
      </c>
      <c r="L95" t="b">
        <f>IF(A95="","",AND('03_EXECUTION_LOG'!F95="success",INDEX('02_TASK_CATALOG'!J:J,MATCH(C95,'02_TASK_CATALOG'!A:A,0))=TRUE,H95&gt;0,J95&gt;0,'03_EXECUTION_LOG'!J95&lt;&gt;""))</f>
        <v>0</v>
      </c>
      <c r="M95" t="str">
        <f>IF(A95="","",IF('03_EXECUTION_LOG'!F95&lt;&gt;"success","non-success status",IF(INDEX('02_TASK_CATALOG'!J:J,MATCH(C95,'02_TASK_CATALOG'!A:A,0))&lt;&gt;TRUE,"task not approved",IF(H95&lt;=0,"no net time saved",IF(J95&lt;=0,"missing labor rate",IF('03_EXECUTION_LOG'!J95="","missing evidence",""))))))</f>
        <v/>
      </c>
      <c r="N95" t="str">
        <f>IF(A95="","",IF(AND(L95=TRUE,'03_EXECUTION_LOG'!I95=FALSE),"high",IF(AND(L95=TRUE,'03_EXECUTION_LOG'!I95=TRUE),"medium","low")))</f>
        <v/>
      </c>
      <c r="O95" t="str">
        <f>IF(A95="","",IF(AND(L95=TRUE,'03_EXECUTION_LOG'!J95&lt;&gt;""),"yes","needs-review"))</f>
        <v/>
      </c>
    </row>
    <row r="96">
      <c r="A96" t="str">
        <f>IF('03_EXECUTION_LOG'!A96="","",'03_EXECUTION_LOG'!A96)</f>
        <v/>
      </c>
      <c r="B96" t="str">
        <f>IF('03_EXECUTION_LOG'!B96="","",LEFT('03_EXECUTION_LOG'!B96,7))</f>
        <v/>
      </c>
      <c r="C96" t="str">
        <f>IF('03_EXECUTION_LOG'!E96="","",'03_EXECUTION_LOG'!E96)</f>
        <v/>
      </c>
      <c r="D96" t="str">
        <f>IF(C96="","",INDEX('02_TASK_CATALOG'!E:E,MATCH(C96,'02_TASK_CATALOG'!A:A,0)))</f>
        <v/>
      </c>
      <c r="E96">
        <f>IF(C96="","",INDEX('02_TASK_CATALOG'!F:F,MATCH(C96,'02_TASK_CATALOG'!A:A,0)))</f>
        <v>0</v>
      </c>
      <c r="F96">
        <f>IF(C96="","",INDEX('02_TASK_CATALOG'!G:G,MATCH(C96,'02_TASK_CATALOG'!A:A,0)))</f>
        <v>0</v>
      </c>
      <c r="G96">
        <f>IF(C96="","",INDEX('02_TASK_CATALOG'!H:H,MATCH(C96,'02_TASK_CATALOG'!A:A,0)))</f>
        <v>0</v>
      </c>
      <c r="H96">
        <f>IF(A96="","",MAX(0,E96-F96-G96))</f>
        <v>0</v>
      </c>
      <c r="I96">
        <f>IF(A96="","",H96*IF('03_EXECUTION_LOG'!H96="",1,'03_EXECUTION_LOG'!H96)/60)</f>
        <v>0</v>
      </c>
      <c r="J96">
        <f>IF(D96="","",INDEX('01_ASSUMPTIONS'!C:C,MATCH(D96,'01_ASSUMPTIONS'!A:A,0)))</f>
        <v>0</v>
      </c>
      <c r="K96">
        <f>IF(OR(A96="",L96&lt;&gt;TRUE),0,I96*J96)</f>
        <v>0</v>
      </c>
      <c r="L96" t="b">
        <f>IF(A96="","",AND('03_EXECUTION_LOG'!F96="success",INDEX('02_TASK_CATALOG'!J:J,MATCH(C96,'02_TASK_CATALOG'!A:A,0))=TRUE,H96&gt;0,J96&gt;0,'03_EXECUTION_LOG'!J96&lt;&gt;""))</f>
        <v>0</v>
      </c>
      <c r="M96" t="str">
        <f>IF(A96="","",IF('03_EXECUTION_LOG'!F96&lt;&gt;"success","non-success status",IF(INDEX('02_TASK_CATALOG'!J:J,MATCH(C96,'02_TASK_CATALOG'!A:A,0))&lt;&gt;TRUE,"task not approved",IF(H96&lt;=0,"no net time saved",IF(J96&lt;=0,"missing labor rate",IF('03_EXECUTION_LOG'!J96="","missing evidence",""))))))</f>
        <v/>
      </c>
      <c r="N96" t="str">
        <f>IF(A96="","",IF(AND(L96=TRUE,'03_EXECUTION_LOG'!I96=FALSE),"high",IF(AND(L96=TRUE,'03_EXECUTION_LOG'!I96=TRUE),"medium","low")))</f>
        <v/>
      </c>
      <c r="O96" t="str">
        <f>IF(A96="","",IF(AND(L96=TRUE,'03_EXECUTION_LOG'!J96&lt;&gt;""),"yes","needs-review"))</f>
        <v/>
      </c>
    </row>
    <row r="97">
      <c r="A97" t="str">
        <f>IF('03_EXECUTION_LOG'!A97="","",'03_EXECUTION_LOG'!A97)</f>
        <v/>
      </c>
      <c r="B97" t="str">
        <f>IF('03_EXECUTION_LOG'!B97="","",LEFT('03_EXECUTION_LOG'!B97,7))</f>
        <v/>
      </c>
      <c r="C97" t="str">
        <f>IF('03_EXECUTION_LOG'!E97="","",'03_EXECUTION_LOG'!E97)</f>
        <v/>
      </c>
      <c r="D97" t="str">
        <f>IF(C97="","",INDEX('02_TASK_CATALOG'!E:E,MATCH(C97,'02_TASK_CATALOG'!A:A,0)))</f>
        <v/>
      </c>
      <c r="E97">
        <f>IF(C97="","",INDEX('02_TASK_CATALOG'!F:F,MATCH(C97,'02_TASK_CATALOG'!A:A,0)))</f>
        <v>0</v>
      </c>
      <c r="F97">
        <f>IF(C97="","",INDEX('02_TASK_CATALOG'!G:G,MATCH(C97,'02_TASK_CATALOG'!A:A,0)))</f>
        <v>0</v>
      </c>
      <c r="G97">
        <f>IF(C97="","",INDEX('02_TASK_CATALOG'!H:H,MATCH(C97,'02_TASK_CATALOG'!A:A,0)))</f>
        <v>0</v>
      </c>
      <c r="H97">
        <f>IF(A97="","",MAX(0,E97-F97-G97))</f>
        <v>0</v>
      </c>
      <c r="I97">
        <f>IF(A97="","",H97*IF('03_EXECUTION_LOG'!H97="",1,'03_EXECUTION_LOG'!H97)/60)</f>
        <v>0</v>
      </c>
      <c r="J97">
        <f>IF(D97="","",INDEX('01_ASSUMPTIONS'!C:C,MATCH(D97,'01_ASSUMPTIONS'!A:A,0)))</f>
        <v>0</v>
      </c>
      <c r="K97">
        <f>IF(OR(A97="",L97&lt;&gt;TRUE),0,I97*J97)</f>
        <v>0</v>
      </c>
      <c r="L97" t="b">
        <f>IF(A97="","",AND('03_EXECUTION_LOG'!F97="success",INDEX('02_TASK_CATALOG'!J:J,MATCH(C97,'02_TASK_CATALOG'!A:A,0))=TRUE,H97&gt;0,J97&gt;0,'03_EXECUTION_LOG'!J97&lt;&gt;""))</f>
        <v>0</v>
      </c>
      <c r="M97" t="str">
        <f>IF(A97="","",IF('03_EXECUTION_LOG'!F97&lt;&gt;"success","non-success status",IF(INDEX('02_TASK_CATALOG'!J:J,MATCH(C97,'02_TASK_CATALOG'!A:A,0))&lt;&gt;TRUE,"task not approved",IF(H97&lt;=0,"no net time saved",IF(J97&lt;=0,"missing labor rate",IF('03_EXECUTION_LOG'!J97="","missing evidence",""))))))</f>
        <v/>
      </c>
      <c r="N97" t="str">
        <f>IF(A97="","",IF(AND(L97=TRUE,'03_EXECUTION_LOG'!I97=FALSE),"high",IF(AND(L97=TRUE,'03_EXECUTION_LOG'!I97=TRUE),"medium","low")))</f>
        <v/>
      </c>
      <c r="O97" t="str">
        <f>IF(A97="","",IF(AND(L97=TRUE,'03_EXECUTION_LOG'!J97&lt;&gt;""),"yes","needs-review"))</f>
        <v/>
      </c>
    </row>
    <row r="98">
      <c r="A98" t="str">
        <f>IF('03_EXECUTION_LOG'!A98="","",'03_EXECUTION_LOG'!A98)</f>
        <v/>
      </c>
      <c r="B98" t="str">
        <f>IF('03_EXECUTION_LOG'!B98="","",LEFT('03_EXECUTION_LOG'!B98,7))</f>
        <v/>
      </c>
      <c r="C98" t="str">
        <f>IF('03_EXECUTION_LOG'!E98="","",'03_EXECUTION_LOG'!E98)</f>
        <v/>
      </c>
      <c r="D98" t="str">
        <f>IF(C98="","",INDEX('02_TASK_CATALOG'!E:E,MATCH(C98,'02_TASK_CATALOG'!A:A,0)))</f>
        <v/>
      </c>
      <c r="E98">
        <f>IF(C98="","",INDEX('02_TASK_CATALOG'!F:F,MATCH(C98,'02_TASK_CATALOG'!A:A,0)))</f>
        <v>0</v>
      </c>
      <c r="F98">
        <f>IF(C98="","",INDEX('02_TASK_CATALOG'!G:G,MATCH(C98,'02_TASK_CATALOG'!A:A,0)))</f>
        <v>0</v>
      </c>
      <c r="G98">
        <f>IF(C98="","",INDEX('02_TASK_CATALOG'!H:H,MATCH(C98,'02_TASK_CATALOG'!A:A,0)))</f>
        <v>0</v>
      </c>
      <c r="H98">
        <f>IF(A98="","",MAX(0,E98-F98-G98))</f>
        <v>0</v>
      </c>
      <c r="I98">
        <f>IF(A98="","",H98*IF('03_EXECUTION_LOG'!H98="",1,'03_EXECUTION_LOG'!H98)/60)</f>
        <v>0</v>
      </c>
      <c r="J98">
        <f>IF(D98="","",INDEX('01_ASSUMPTIONS'!C:C,MATCH(D98,'01_ASSUMPTIONS'!A:A,0)))</f>
        <v>0</v>
      </c>
      <c r="K98">
        <f>IF(OR(A98="",L98&lt;&gt;TRUE),0,I98*J98)</f>
        <v>0</v>
      </c>
      <c r="L98" t="b">
        <f>IF(A98="","",AND('03_EXECUTION_LOG'!F98="success",INDEX('02_TASK_CATALOG'!J:J,MATCH(C98,'02_TASK_CATALOG'!A:A,0))=TRUE,H98&gt;0,J98&gt;0,'03_EXECUTION_LOG'!J98&lt;&gt;""))</f>
        <v>0</v>
      </c>
      <c r="M98" t="str">
        <f>IF(A98="","",IF('03_EXECUTION_LOG'!F98&lt;&gt;"success","non-success status",IF(INDEX('02_TASK_CATALOG'!J:J,MATCH(C98,'02_TASK_CATALOG'!A:A,0))&lt;&gt;TRUE,"task not approved",IF(H98&lt;=0,"no net time saved",IF(J98&lt;=0,"missing labor rate",IF('03_EXECUTION_LOG'!J98="","missing evidence",""))))))</f>
        <v/>
      </c>
      <c r="N98" t="str">
        <f>IF(A98="","",IF(AND(L98=TRUE,'03_EXECUTION_LOG'!I98=FALSE),"high",IF(AND(L98=TRUE,'03_EXECUTION_LOG'!I98=TRUE),"medium","low")))</f>
        <v/>
      </c>
      <c r="O98" t="str">
        <f>IF(A98="","",IF(AND(L98=TRUE,'03_EXECUTION_LOG'!J98&lt;&gt;""),"yes","needs-review"))</f>
        <v/>
      </c>
    </row>
    <row r="99">
      <c r="A99" t="str">
        <f>IF('03_EXECUTION_LOG'!A99="","",'03_EXECUTION_LOG'!A99)</f>
        <v/>
      </c>
      <c r="B99" t="str">
        <f>IF('03_EXECUTION_LOG'!B99="","",LEFT('03_EXECUTION_LOG'!B99,7))</f>
        <v/>
      </c>
      <c r="C99" t="str">
        <f>IF('03_EXECUTION_LOG'!E99="","",'03_EXECUTION_LOG'!E99)</f>
        <v/>
      </c>
      <c r="D99" t="str">
        <f>IF(C99="","",INDEX('02_TASK_CATALOG'!E:E,MATCH(C99,'02_TASK_CATALOG'!A:A,0)))</f>
        <v/>
      </c>
      <c r="E99">
        <f>IF(C99="","",INDEX('02_TASK_CATALOG'!F:F,MATCH(C99,'02_TASK_CATALOG'!A:A,0)))</f>
        <v>0</v>
      </c>
      <c r="F99">
        <f>IF(C99="","",INDEX('02_TASK_CATALOG'!G:G,MATCH(C99,'02_TASK_CATALOG'!A:A,0)))</f>
        <v>0</v>
      </c>
      <c r="G99">
        <f>IF(C99="","",INDEX('02_TASK_CATALOG'!H:H,MATCH(C99,'02_TASK_CATALOG'!A:A,0)))</f>
        <v>0</v>
      </c>
      <c r="H99">
        <f>IF(A99="","",MAX(0,E99-F99-G99))</f>
        <v>0</v>
      </c>
      <c r="I99">
        <f>IF(A99="","",H99*IF('03_EXECUTION_LOG'!H99="",1,'03_EXECUTION_LOG'!H99)/60)</f>
        <v>0</v>
      </c>
      <c r="J99">
        <f>IF(D99="","",INDEX('01_ASSUMPTIONS'!C:C,MATCH(D99,'01_ASSUMPTIONS'!A:A,0)))</f>
        <v>0</v>
      </c>
      <c r="K99">
        <f>IF(OR(A99="",L99&lt;&gt;TRUE),0,I99*J99)</f>
        <v>0</v>
      </c>
      <c r="L99" t="b">
        <f>IF(A99="","",AND('03_EXECUTION_LOG'!F99="success",INDEX('02_TASK_CATALOG'!J:J,MATCH(C99,'02_TASK_CATALOG'!A:A,0))=TRUE,H99&gt;0,J99&gt;0,'03_EXECUTION_LOG'!J99&lt;&gt;""))</f>
        <v>0</v>
      </c>
      <c r="M99" t="str">
        <f>IF(A99="","",IF('03_EXECUTION_LOG'!F99&lt;&gt;"success","non-success status",IF(INDEX('02_TASK_CATALOG'!J:J,MATCH(C99,'02_TASK_CATALOG'!A:A,0))&lt;&gt;TRUE,"task not approved",IF(H99&lt;=0,"no net time saved",IF(J99&lt;=0,"missing labor rate",IF('03_EXECUTION_LOG'!J99="","missing evidence",""))))))</f>
        <v/>
      </c>
      <c r="N99" t="str">
        <f>IF(A99="","",IF(AND(L99=TRUE,'03_EXECUTION_LOG'!I99=FALSE),"high",IF(AND(L99=TRUE,'03_EXECUTION_LOG'!I99=TRUE),"medium","low")))</f>
        <v/>
      </c>
      <c r="O99" t="str">
        <f>IF(A99="","",IF(AND(L99=TRUE,'03_EXECUTION_LOG'!J99&lt;&gt;""),"yes","needs-review"))</f>
        <v/>
      </c>
    </row>
    <row r="100">
      <c r="A100" t="str">
        <f>IF('03_EXECUTION_LOG'!A100="","",'03_EXECUTION_LOG'!A100)</f>
        <v/>
      </c>
      <c r="B100" t="str">
        <f>IF('03_EXECUTION_LOG'!B100="","",LEFT('03_EXECUTION_LOG'!B100,7))</f>
        <v/>
      </c>
      <c r="C100" t="str">
        <f>IF('03_EXECUTION_LOG'!E100="","",'03_EXECUTION_LOG'!E100)</f>
        <v/>
      </c>
      <c r="D100" t="str">
        <f>IF(C100="","",INDEX('02_TASK_CATALOG'!E:E,MATCH(C100,'02_TASK_CATALOG'!A:A,0)))</f>
        <v/>
      </c>
      <c r="E100">
        <f>IF(C100="","",INDEX('02_TASK_CATALOG'!F:F,MATCH(C100,'02_TASK_CATALOG'!A:A,0)))</f>
        <v>0</v>
      </c>
      <c r="F100">
        <f>IF(C100="","",INDEX('02_TASK_CATALOG'!G:G,MATCH(C100,'02_TASK_CATALOG'!A:A,0)))</f>
        <v>0</v>
      </c>
      <c r="G100">
        <f>IF(C100="","",INDEX('02_TASK_CATALOG'!H:H,MATCH(C100,'02_TASK_CATALOG'!A:A,0)))</f>
        <v>0</v>
      </c>
      <c r="H100">
        <f>IF(A100="","",MAX(0,E100-F100-G100))</f>
        <v>0</v>
      </c>
      <c r="I100">
        <f>IF(A100="","",H100*IF('03_EXECUTION_LOG'!H100="",1,'03_EXECUTION_LOG'!H100)/60)</f>
        <v>0</v>
      </c>
      <c r="J100">
        <f>IF(D100="","",INDEX('01_ASSUMPTIONS'!C:C,MATCH(D100,'01_ASSUMPTIONS'!A:A,0)))</f>
        <v>0</v>
      </c>
      <c r="K100">
        <f>IF(OR(A100="",L100&lt;&gt;TRUE),0,I100*J100)</f>
        <v>0</v>
      </c>
      <c r="L100" t="b">
        <f>IF(A100="","",AND('03_EXECUTION_LOG'!F100="success",INDEX('02_TASK_CATALOG'!J:J,MATCH(C100,'02_TASK_CATALOG'!A:A,0))=TRUE,H100&gt;0,J100&gt;0,'03_EXECUTION_LOG'!J100&lt;&gt;""))</f>
        <v>0</v>
      </c>
      <c r="M100" t="str">
        <f>IF(A100="","",IF('03_EXECUTION_LOG'!F100&lt;&gt;"success","non-success status",IF(INDEX('02_TASK_CATALOG'!J:J,MATCH(C100,'02_TASK_CATALOG'!A:A,0))&lt;&gt;TRUE,"task not approved",IF(H100&lt;=0,"no net time saved",IF(J100&lt;=0,"missing labor rate",IF('03_EXECUTION_LOG'!J100="","missing evidence",""))))))</f>
        <v/>
      </c>
      <c r="N100" t="str">
        <f>IF(A100="","",IF(AND(L100=TRUE,'03_EXECUTION_LOG'!I100=FALSE),"high",IF(AND(L100=TRUE,'03_EXECUTION_LOG'!I100=TRUE),"medium","low")))</f>
        <v/>
      </c>
      <c r="O100" t="str">
        <f>IF(A100="","",IF(AND(L100=TRUE,'03_EXECUTION_LOG'!J100&lt;&gt;""),"yes","needs-review"))</f>
        <v/>
      </c>
    </row>
    <row r="101">
      <c r="A101" t="str">
        <f>IF('03_EXECUTION_LOG'!A101="","",'03_EXECUTION_LOG'!A101)</f>
        <v/>
      </c>
      <c r="B101" t="str">
        <f>IF('03_EXECUTION_LOG'!B101="","",LEFT('03_EXECUTION_LOG'!B101,7))</f>
        <v/>
      </c>
      <c r="C101" t="str">
        <f>IF('03_EXECUTION_LOG'!E101="","",'03_EXECUTION_LOG'!E101)</f>
        <v/>
      </c>
      <c r="D101" t="str">
        <f>IF(C101="","",INDEX('02_TASK_CATALOG'!E:E,MATCH(C101,'02_TASK_CATALOG'!A:A,0)))</f>
        <v/>
      </c>
      <c r="E101">
        <f>IF(C101="","",INDEX('02_TASK_CATALOG'!F:F,MATCH(C101,'02_TASK_CATALOG'!A:A,0)))</f>
        <v>0</v>
      </c>
      <c r="F101">
        <f>IF(C101="","",INDEX('02_TASK_CATALOG'!G:G,MATCH(C101,'02_TASK_CATALOG'!A:A,0)))</f>
        <v>0</v>
      </c>
      <c r="G101">
        <f>IF(C101="","",INDEX('02_TASK_CATALOG'!H:H,MATCH(C101,'02_TASK_CATALOG'!A:A,0)))</f>
        <v>0</v>
      </c>
      <c r="H101">
        <f>IF(A101="","",MAX(0,E101-F101-G101))</f>
        <v>0</v>
      </c>
      <c r="I101">
        <f>IF(A101="","",H101*IF('03_EXECUTION_LOG'!H101="",1,'03_EXECUTION_LOG'!H101)/60)</f>
        <v>0</v>
      </c>
      <c r="J101">
        <f>IF(D101="","",INDEX('01_ASSUMPTIONS'!C:C,MATCH(D101,'01_ASSUMPTIONS'!A:A,0)))</f>
        <v>0</v>
      </c>
      <c r="K101">
        <f>IF(OR(A101="",L101&lt;&gt;TRUE),0,I101*J101)</f>
        <v>0</v>
      </c>
      <c r="L101" t="b">
        <f>IF(A101="","",AND('03_EXECUTION_LOG'!F101="success",INDEX('02_TASK_CATALOG'!J:J,MATCH(C101,'02_TASK_CATALOG'!A:A,0))=TRUE,H101&gt;0,J101&gt;0,'03_EXECUTION_LOG'!J101&lt;&gt;""))</f>
        <v>0</v>
      </c>
      <c r="M101" t="str">
        <f>IF(A101="","",IF('03_EXECUTION_LOG'!F101&lt;&gt;"success","non-success status",IF(INDEX('02_TASK_CATALOG'!J:J,MATCH(C101,'02_TASK_CATALOG'!A:A,0))&lt;&gt;TRUE,"task not approved",IF(H101&lt;=0,"no net time saved",IF(J101&lt;=0,"missing labor rate",IF('03_EXECUTION_LOG'!J101="","missing evidence",""))))))</f>
        <v/>
      </c>
      <c r="N101" t="str">
        <f>IF(A101="","",IF(AND(L101=TRUE,'03_EXECUTION_LOG'!I101=FALSE),"high",IF(AND(L101=TRUE,'03_EXECUTION_LOG'!I101=TRUE),"medium","low")))</f>
        <v/>
      </c>
      <c r="O101" t="str">
        <f>IF(A101="","",IF(AND(L101=TRUE,'03_EXECUTION_LOG'!J101&lt;&gt;""),"yes","needs-review"))</f>
        <v/>
      </c>
    </row>
    <row r="102">
      <c r="A102" t="str">
        <f>IF('03_EXECUTION_LOG'!A102="","",'03_EXECUTION_LOG'!A102)</f>
        <v/>
      </c>
      <c r="B102" t="str">
        <f>IF('03_EXECUTION_LOG'!B102="","",LEFT('03_EXECUTION_LOG'!B102,7))</f>
        <v/>
      </c>
      <c r="C102" t="str">
        <f>IF('03_EXECUTION_LOG'!E102="","",'03_EXECUTION_LOG'!E102)</f>
        <v/>
      </c>
      <c r="D102" t="str">
        <f>IF(C102="","",INDEX('02_TASK_CATALOG'!E:E,MATCH(C102,'02_TASK_CATALOG'!A:A,0)))</f>
        <v/>
      </c>
      <c r="E102">
        <f>IF(C102="","",INDEX('02_TASK_CATALOG'!F:F,MATCH(C102,'02_TASK_CATALOG'!A:A,0)))</f>
        <v>0</v>
      </c>
      <c r="F102">
        <f>IF(C102="","",INDEX('02_TASK_CATALOG'!G:G,MATCH(C102,'02_TASK_CATALOG'!A:A,0)))</f>
        <v>0</v>
      </c>
      <c r="G102">
        <f>IF(C102="","",INDEX('02_TASK_CATALOG'!H:H,MATCH(C102,'02_TASK_CATALOG'!A:A,0)))</f>
        <v>0</v>
      </c>
      <c r="H102">
        <f>IF(A102="","",MAX(0,E102-F102-G102))</f>
        <v>0</v>
      </c>
      <c r="I102">
        <f>IF(A102="","",H102*IF('03_EXECUTION_LOG'!H102="",1,'03_EXECUTION_LOG'!H102)/60)</f>
        <v>0</v>
      </c>
      <c r="J102">
        <f>IF(D102="","",INDEX('01_ASSUMPTIONS'!C:C,MATCH(D102,'01_ASSUMPTIONS'!A:A,0)))</f>
        <v>0</v>
      </c>
      <c r="K102">
        <f>IF(OR(A102="",L102&lt;&gt;TRUE),0,I102*J102)</f>
        <v>0</v>
      </c>
      <c r="L102" t="b">
        <f>IF(A102="","",AND('03_EXECUTION_LOG'!F102="success",INDEX('02_TASK_CATALOG'!J:J,MATCH(C102,'02_TASK_CATALOG'!A:A,0))=TRUE,H102&gt;0,J102&gt;0,'03_EXECUTION_LOG'!J102&lt;&gt;""))</f>
        <v>0</v>
      </c>
      <c r="M102" t="str">
        <f>IF(A102="","",IF('03_EXECUTION_LOG'!F102&lt;&gt;"success","non-success status",IF(INDEX('02_TASK_CATALOG'!J:J,MATCH(C102,'02_TASK_CATALOG'!A:A,0))&lt;&gt;TRUE,"task not approved",IF(H102&lt;=0,"no net time saved",IF(J102&lt;=0,"missing labor rate",IF('03_EXECUTION_LOG'!J102="","missing evidence",""))))))</f>
        <v/>
      </c>
      <c r="N102" t="str">
        <f>IF(A102="","",IF(AND(L102=TRUE,'03_EXECUTION_LOG'!I102=FALSE),"high",IF(AND(L102=TRUE,'03_EXECUTION_LOG'!I102=TRUE),"medium","low")))</f>
        <v/>
      </c>
      <c r="O102" t="str">
        <f>IF(A102="","",IF(AND(L102=TRUE,'03_EXECUTION_LOG'!J102&lt;&gt;""),"yes","needs-review"))</f>
        <v/>
      </c>
    </row>
    <row r="103">
      <c r="A103" t="str">
        <f>IF('03_EXECUTION_LOG'!A103="","",'03_EXECUTION_LOG'!A103)</f>
        <v/>
      </c>
      <c r="B103" t="str">
        <f>IF('03_EXECUTION_LOG'!B103="","",LEFT('03_EXECUTION_LOG'!B103,7))</f>
        <v/>
      </c>
      <c r="C103" t="str">
        <f>IF('03_EXECUTION_LOG'!E103="","",'03_EXECUTION_LOG'!E103)</f>
        <v/>
      </c>
      <c r="D103" t="str">
        <f>IF(C103="","",INDEX('02_TASK_CATALOG'!E:E,MATCH(C103,'02_TASK_CATALOG'!A:A,0)))</f>
        <v/>
      </c>
      <c r="E103">
        <f>IF(C103="","",INDEX('02_TASK_CATALOG'!F:F,MATCH(C103,'02_TASK_CATALOG'!A:A,0)))</f>
        <v>0</v>
      </c>
      <c r="F103">
        <f>IF(C103="","",INDEX('02_TASK_CATALOG'!G:G,MATCH(C103,'02_TASK_CATALOG'!A:A,0)))</f>
        <v>0</v>
      </c>
      <c r="G103">
        <f>IF(C103="","",INDEX('02_TASK_CATALOG'!H:H,MATCH(C103,'02_TASK_CATALOG'!A:A,0)))</f>
        <v>0</v>
      </c>
      <c r="H103">
        <f>IF(A103="","",MAX(0,E103-F103-G103))</f>
        <v>0</v>
      </c>
      <c r="I103">
        <f>IF(A103="","",H103*IF('03_EXECUTION_LOG'!H103="",1,'03_EXECUTION_LOG'!H103)/60)</f>
        <v>0</v>
      </c>
      <c r="J103">
        <f>IF(D103="","",INDEX('01_ASSUMPTIONS'!C:C,MATCH(D103,'01_ASSUMPTIONS'!A:A,0)))</f>
        <v>0</v>
      </c>
      <c r="K103">
        <f>IF(OR(A103="",L103&lt;&gt;TRUE),0,I103*J103)</f>
        <v>0</v>
      </c>
      <c r="L103" t="b">
        <f>IF(A103="","",AND('03_EXECUTION_LOG'!F103="success",INDEX('02_TASK_CATALOG'!J:J,MATCH(C103,'02_TASK_CATALOG'!A:A,0))=TRUE,H103&gt;0,J103&gt;0,'03_EXECUTION_LOG'!J103&lt;&gt;""))</f>
        <v>0</v>
      </c>
      <c r="M103" t="str">
        <f>IF(A103="","",IF('03_EXECUTION_LOG'!F103&lt;&gt;"success","non-success status",IF(INDEX('02_TASK_CATALOG'!J:J,MATCH(C103,'02_TASK_CATALOG'!A:A,0))&lt;&gt;TRUE,"task not approved",IF(H103&lt;=0,"no net time saved",IF(J103&lt;=0,"missing labor rate",IF('03_EXECUTION_LOG'!J103="","missing evidence",""))))))</f>
        <v/>
      </c>
      <c r="N103" t="str">
        <f>IF(A103="","",IF(AND(L103=TRUE,'03_EXECUTION_LOG'!I103=FALSE),"high",IF(AND(L103=TRUE,'03_EXECUTION_LOG'!I103=TRUE),"medium","low")))</f>
        <v/>
      </c>
      <c r="O103" t="str">
        <f>IF(A103="","",IF(AND(L103=TRUE,'03_EXECUTION_LOG'!J103&lt;&gt;""),"yes","needs-review"))</f>
        <v/>
      </c>
    </row>
    <row r="104">
      <c r="A104" t="str">
        <f>IF('03_EXECUTION_LOG'!A104="","",'03_EXECUTION_LOG'!A104)</f>
        <v/>
      </c>
      <c r="B104" t="str">
        <f>IF('03_EXECUTION_LOG'!B104="","",LEFT('03_EXECUTION_LOG'!B104,7))</f>
        <v/>
      </c>
      <c r="C104" t="str">
        <f>IF('03_EXECUTION_LOG'!E104="","",'03_EXECUTION_LOG'!E104)</f>
        <v/>
      </c>
      <c r="D104" t="str">
        <f>IF(C104="","",INDEX('02_TASK_CATALOG'!E:E,MATCH(C104,'02_TASK_CATALOG'!A:A,0)))</f>
        <v/>
      </c>
      <c r="E104">
        <f>IF(C104="","",INDEX('02_TASK_CATALOG'!F:F,MATCH(C104,'02_TASK_CATALOG'!A:A,0)))</f>
        <v>0</v>
      </c>
      <c r="F104">
        <f>IF(C104="","",INDEX('02_TASK_CATALOG'!G:G,MATCH(C104,'02_TASK_CATALOG'!A:A,0)))</f>
        <v>0</v>
      </c>
      <c r="G104">
        <f>IF(C104="","",INDEX('02_TASK_CATALOG'!H:H,MATCH(C104,'02_TASK_CATALOG'!A:A,0)))</f>
        <v>0</v>
      </c>
      <c r="H104">
        <f>IF(A104="","",MAX(0,E104-F104-G104))</f>
        <v>0</v>
      </c>
      <c r="I104">
        <f>IF(A104="","",H104*IF('03_EXECUTION_LOG'!H104="",1,'03_EXECUTION_LOG'!H104)/60)</f>
        <v>0</v>
      </c>
      <c r="J104">
        <f>IF(D104="","",INDEX('01_ASSUMPTIONS'!C:C,MATCH(D104,'01_ASSUMPTIONS'!A:A,0)))</f>
        <v>0</v>
      </c>
      <c r="K104">
        <f>IF(OR(A104="",L104&lt;&gt;TRUE),0,I104*J104)</f>
        <v>0</v>
      </c>
      <c r="L104" t="b">
        <f>IF(A104="","",AND('03_EXECUTION_LOG'!F104="success",INDEX('02_TASK_CATALOG'!J:J,MATCH(C104,'02_TASK_CATALOG'!A:A,0))=TRUE,H104&gt;0,J104&gt;0,'03_EXECUTION_LOG'!J104&lt;&gt;""))</f>
        <v>0</v>
      </c>
      <c r="M104" t="str">
        <f>IF(A104="","",IF('03_EXECUTION_LOG'!F104&lt;&gt;"success","non-success status",IF(INDEX('02_TASK_CATALOG'!J:J,MATCH(C104,'02_TASK_CATALOG'!A:A,0))&lt;&gt;TRUE,"task not approved",IF(H104&lt;=0,"no net time saved",IF(J104&lt;=0,"missing labor rate",IF('03_EXECUTION_LOG'!J104="","missing evidence",""))))))</f>
        <v/>
      </c>
      <c r="N104" t="str">
        <f>IF(A104="","",IF(AND(L104=TRUE,'03_EXECUTION_LOG'!I104=FALSE),"high",IF(AND(L104=TRUE,'03_EXECUTION_LOG'!I104=TRUE),"medium","low")))</f>
        <v/>
      </c>
      <c r="O104" t="str">
        <f>IF(A104="","",IF(AND(L104=TRUE,'03_EXECUTION_LOG'!J104&lt;&gt;""),"yes","needs-review"))</f>
        <v/>
      </c>
    </row>
    <row r="105">
      <c r="A105" t="str">
        <f>IF('03_EXECUTION_LOG'!A105="","",'03_EXECUTION_LOG'!A105)</f>
        <v/>
      </c>
      <c r="B105" t="str">
        <f>IF('03_EXECUTION_LOG'!B105="","",LEFT('03_EXECUTION_LOG'!B105,7))</f>
        <v/>
      </c>
      <c r="C105" t="str">
        <f>IF('03_EXECUTION_LOG'!E105="","",'03_EXECUTION_LOG'!E105)</f>
        <v/>
      </c>
      <c r="D105" t="str">
        <f>IF(C105="","",INDEX('02_TASK_CATALOG'!E:E,MATCH(C105,'02_TASK_CATALOG'!A:A,0)))</f>
        <v/>
      </c>
      <c r="E105">
        <f>IF(C105="","",INDEX('02_TASK_CATALOG'!F:F,MATCH(C105,'02_TASK_CATALOG'!A:A,0)))</f>
        <v>0</v>
      </c>
      <c r="F105">
        <f>IF(C105="","",INDEX('02_TASK_CATALOG'!G:G,MATCH(C105,'02_TASK_CATALOG'!A:A,0)))</f>
        <v>0</v>
      </c>
      <c r="G105">
        <f>IF(C105="","",INDEX('02_TASK_CATALOG'!H:H,MATCH(C105,'02_TASK_CATALOG'!A:A,0)))</f>
        <v>0</v>
      </c>
      <c r="H105">
        <f>IF(A105="","",MAX(0,E105-F105-G105))</f>
        <v>0</v>
      </c>
      <c r="I105">
        <f>IF(A105="","",H105*IF('03_EXECUTION_LOG'!H105="",1,'03_EXECUTION_LOG'!H105)/60)</f>
        <v>0</v>
      </c>
      <c r="J105">
        <f>IF(D105="","",INDEX('01_ASSUMPTIONS'!C:C,MATCH(D105,'01_ASSUMPTIONS'!A:A,0)))</f>
        <v>0</v>
      </c>
      <c r="K105">
        <f>IF(OR(A105="",L105&lt;&gt;TRUE),0,I105*J105)</f>
        <v>0</v>
      </c>
      <c r="L105" t="b">
        <f>IF(A105="","",AND('03_EXECUTION_LOG'!F105="success",INDEX('02_TASK_CATALOG'!J:J,MATCH(C105,'02_TASK_CATALOG'!A:A,0))=TRUE,H105&gt;0,J105&gt;0,'03_EXECUTION_LOG'!J105&lt;&gt;""))</f>
        <v>0</v>
      </c>
      <c r="M105" t="str">
        <f>IF(A105="","",IF('03_EXECUTION_LOG'!F105&lt;&gt;"success","non-success status",IF(INDEX('02_TASK_CATALOG'!J:J,MATCH(C105,'02_TASK_CATALOG'!A:A,0))&lt;&gt;TRUE,"task not approved",IF(H105&lt;=0,"no net time saved",IF(J105&lt;=0,"missing labor rate",IF('03_EXECUTION_LOG'!J105="","missing evidence",""))))))</f>
        <v/>
      </c>
      <c r="N105" t="str">
        <f>IF(A105="","",IF(AND(L105=TRUE,'03_EXECUTION_LOG'!I105=FALSE),"high",IF(AND(L105=TRUE,'03_EXECUTION_LOG'!I105=TRUE),"medium","low")))</f>
        <v/>
      </c>
      <c r="O105" t="str">
        <f>IF(A105="","",IF(AND(L105=TRUE,'03_EXECUTION_LOG'!J105&lt;&gt;""),"yes","needs-review"))</f>
        <v/>
      </c>
    </row>
    <row r="106">
      <c r="A106" t="str">
        <f>IF('03_EXECUTION_LOG'!A106="","",'03_EXECUTION_LOG'!A106)</f>
        <v/>
      </c>
      <c r="B106" t="str">
        <f>IF('03_EXECUTION_LOG'!B106="","",LEFT('03_EXECUTION_LOG'!B106,7))</f>
        <v/>
      </c>
      <c r="C106" t="str">
        <f>IF('03_EXECUTION_LOG'!E106="","",'03_EXECUTION_LOG'!E106)</f>
        <v/>
      </c>
      <c r="D106" t="str">
        <f>IF(C106="","",INDEX('02_TASK_CATALOG'!E:E,MATCH(C106,'02_TASK_CATALOG'!A:A,0)))</f>
        <v/>
      </c>
      <c r="E106">
        <f>IF(C106="","",INDEX('02_TASK_CATALOG'!F:F,MATCH(C106,'02_TASK_CATALOG'!A:A,0)))</f>
        <v>0</v>
      </c>
      <c r="F106">
        <f>IF(C106="","",INDEX('02_TASK_CATALOG'!G:G,MATCH(C106,'02_TASK_CATALOG'!A:A,0)))</f>
        <v>0</v>
      </c>
      <c r="G106">
        <f>IF(C106="","",INDEX('02_TASK_CATALOG'!H:H,MATCH(C106,'02_TASK_CATALOG'!A:A,0)))</f>
        <v>0</v>
      </c>
      <c r="H106">
        <f>IF(A106="","",MAX(0,E106-F106-G106))</f>
        <v>0</v>
      </c>
      <c r="I106">
        <f>IF(A106="","",H106*IF('03_EXECUTION_LOG'!H106="",1,'03_EXECUTION_LOG'!H106)/60)</f>
        <v>0</v>
      </c>
      <c r="J106">
        <f>IF(D106="","",INDEX('01_ASSUMPTIONS'!C:C,MATCH(D106,'01_ASSUMPTIONS'!A:A,0)))</f>
        <v>0</v>
      </c>
      <c r="K106">
        <f>IF(OR(A106="",L106&lt;&gt;TRUE),0,I106*J106)</f>
        <v>0</v>
      </c>
      <c r="L106" t="b">
        <f>IF(A106="","",AND('03_EXECUTION_LOG'!F106="success",INDEX('02_TASK_CATALOG'!J:J,MATCH(C106,'02_TASK_CATALOG'!A:A,0))=TRUE,H106&gt;0,J106&gt;0,'03_EXECUTION_LOG'!J106&lt;&gt;""))</f>
        <v>0</v>
      </c>
      <c r="M106" t="str">
        <f>IF(A106="","",IF('03_EXECUTION_LOG'!F106&lt;&gt;"success","non-success status",IF(INDEX('02_TASK_CATALOG'!J:J,MATCH(C106,'02_TASK_CATALOG'!A:A,0))&lt;&gt;TRUE,"task not approved",IF(H106&lt;=0,"no net time saved",IF(J106&lt;=0,"missing labor rate",IF('03_EXECUTION_LOG'!J106="","missing evidence",""))))))</f>
        <v/>
      </c>
      <c r="N106" t="str">
        <f>IF(A106="","",IF(AND(L106=TRUE,'03_EXECUTION_LOG'!I106=FALSE),"high",IF(AND(L106=TRUE,'03_EXECUTION_LOG'!I106=TRUE),"medium","low")))</f>
        <v/>
      </c>
      <c r="O106" t="str">
        <f>IF(A106="","",IF(AND(L106=TRUE,'03_EXECUTION_LOG'!J106&lt;&gt;""),"yes","needs-review"))</f>
        <v/>
      </c>
    </row>
    <row r="107">
      <c r="A107" t="str">
        <f>IF('03_EXECUTION_LOG'!A107="","",'03_EXECUTION_LOG'!A107)</f>
        <v/>
      </c>
      <c r="B107" t="str">
        <f>IF('03_EXECUTION_LOG'!B107="","",LEFT('03_EXECUTION_LOG'!B107,7))</f>
        <v/>
      </c>
      <c r="C107" t="str">
        <f>IF('03_EXECUTION_LOG'!E107="","",'03_EXECUTION_LOG'!E107)</f>
        <v/>
      </c>
      <c r="D107" t="str">
        <f>IF(C107="","",INDEX('02_TASK_CATALOG'!E:E,MATCH(C107,'02_TASK_CATALOG'!A:A,0)))</f>
        <v/>
      </c>
      <c r="E107">
        <f>IF(C107="","",INDEX('02_TASK_CATALOG'!F:F,MATCH(C107,'02_TASK_CATALOG'!A:A,0)))</f>
        <v>0</v>
      </c>
      <c r="F107">
        <f>IF(C107="","",INDEX('02_TASK_CATALOG'!G:G,MATCH(C107,'02_TASK_CATALOG'!A:A,0)))</f>
        <v>0</v>
      </c>
      <c r="G107">
        <f>IF(C107="","",INDEX('02_TASK_CATALOG'!H:H,MATCH(C107,'02_TASK_CATALOG'!A:A,0)))</f>
        <v>0</v>
      </c>
      <c r="H107">
        <f>IF(A107="","",MAX(0,E107-F107-G107))</f>
        <v>0</v>
      </c>
      <c r="I107">
        <f>IF(A107="","",H107*IF('03_EXECUTION_LOG'!H107="",1,'03_EXECUTION_LOG'!H107)/60)</f>
        <v>0</v>
      </c>
      <c r="J107">
        <f>IF(D107="","",INDEX('01_ASSUMPTIONS'!C:C,MATCH(D107,'01_ASSUMPTIONS'!A:A,0)))</f>
        <v>0</v>
      </c>
      <c r="K107">
        <f>IF(OR(A107="",L107&lt;&gt;TRUE),0,I107*J107)</f>
        <v>0</v>
      </c>
      <c r="L107" t="b">
        <f>IF(A107="","",AND('03_EXECUTION_LOG'!F107="success",INDEX('02_TASK_CATALOG'!J:J,MATCH(C107,'02_TASK_CATALOG'!A:A,0))=TRUE,H107&gt;0,J107&gt;0,'03_EXECUTION_LOG'!J107&lt;&gt;""))</f>
        <v>0</v>
      </c>
      <c r="M107" t="str">
        <f>IF(A107="","",IF('03_EXECUTION_LOG'!F107&lt;&gt;"success","non-success status",IF(INDEX('02_TASK_CATALOG'!J:J,MATCH(C107,'02_TASK_CATALOG'!A:A,0))&lt;&gt;TRUE,"task not approved",IF(H107&lt;=0,"no net time saved",IF(J107&lt;=0,"missing labor rate",IF('03_EXECUTION_LOG'!J107="","missing evidence",""))))))</f>
        <v/>
      </c>
      <c r="N107" t="str">
        <f>IF(A107="","",IF(AND(L107=TRUE,'03_EXECUTION_LOG'!I107=FALSE),"high",IF(AND(L107=TRUE,'03_EXECUTION_LOG'!I107=TRUE),"medium","low")))</f>
        <v/>
      </c>
      <c r="O107" t="str">
        <f>IF(A107="","",IF(AND(L107=TRUE,'03_EXECUTION_LOG'!J107&lt;&gt;""),"yes","needs-review"))</f>
        <v/>
      </c>
    </row>
    <row r="108">
      <c r="A108" t="str">
        <f>IF('03_EXECUTION_LOG'!A108="","",'03_EXECUTION_LOG'!A108)</f>
        <v/>
      </c>
      <c r="B108" t="str">
        <f>IF('03_EXECUTION_LOG'!B108="","",LEFT('03_EXECUTION_LOG'!B108,7))</f>
        <v/>
      </c>
      <c r="C108" t="str">
        <f>IF('03_EXECUTION_LOG'!E108="","",'03_EXECUTION_LOG'!E108)</f>
        <v/>
      </c>
      <c r="D108" t="str">
        <f>IF(C108="","",INDEX('02_TASK_CATALOG'!E:E,MATCH(C108,'02_TASK_CATALOG'!A:A,0)))</f>
        <v/>
      </c>
      <c r="E108">
        <f>IF(C108="","",INDEX('02_TASK_CATALOG'!F:F,MATCH(C108,'02_TASK_CATALOG'!A:A,0)))</f>
        <v>0</v>
      </c>
      <c r="F108">
        <f>IF(C108="","",INDEX('02_TASK_CATALOG'!G:G,MATCH(C108,'02_TASK_CATALOG'!A:A,0)))</f>
        <v>0</v>
      </c>
      <c r="G108">
        <f>IF(C108="","",INDEX('02_TASK_CATALOG'!H:H,MATCH(C108,'02_TASK_CATALOG'!A:A,0)))</f>
        <v>0</v>
      </c>
      <c r="H108">
        <f>IF(A108="","",MAX(0,E108-F108-G108))</f>
        <v>0</v>
      </c>
      <c r="I108">
        <f>IF(A108="","",H108*IF('03_EXECUTION_LOG'!H108="",1,'03_EXECUTION_LOG'!H108)/60)</f>
        <v>0</v>
      </c>
      <c r="J108">
        <f>IF(D108="","",INDEX('01_ASSUMPTIONS'!C:C,MATCH(D108,'01_ASSUMPTIONS'!A:A,0)))</f>
        <v>0</v>
      </c>
      <c r="K108">
        <f>IF(OR(A108="",L108&lt;&gt;TRUE),0,I108*J108)</f>
        <v>0</v>
      </c>
      <c r="L108" t="b">
        <f>IF(A108="","",AND('03_EXECUTION_LOG'!F108="success",INDEX('02_TASK_CATALOG'!J:J,MATCH(C108,'02_TASK_CATALOG'!A:A,0))=TRUE,H108&gt;0,J108&gt;0,'03_EXECUTION_LOG'!J108&lt;&gt;""))</f>
        <v>0</v>
      </c>
      <c r="M108" t="str">
        <f>IF(A108="","",IF('03_EXECUTION_LOG'!F108&lt;&gt;"success","non-success status",IF(INDEX('02_TASK_CATALOG'!J:J,MATCH(C108,'02_TASK_CATALOG'!A:A,0))&lt;&gt;TRUE,"task not approved",IF(H108&lt;=0,"no net time saved",IF(J108&lt;=0,"missing labor rate",IF('03_EXECUTION_LOG'!J108="","missing evidence",""))))))</f>
        <v/>
      </c>
      <c r="N108" t="str">
        <f>IF(A108="","",IF(AND(L108=TRUE,'03_EXECUTION_LOG'!I108=FALSE),"high",IF(AND(L108=TRUE,'03_EXECUTION_LOG'!I108=TRUE),"medium","low")))</f>
        <v/>
      </c>
      <c r="O108" t="str">
        <f>IF(A108="","",IF(AND(L108=TRUE,'03_EXECUTION_LOG'!J108&lt;&gt;""),"yes","needs-review"))</f>
        <v/>
      </c>
    </row>
    <row r="109">
      <c r="A109" t="str">
        <f>IF('03_EXECUTION_LOG'!A109="","",'03_EXECUTION_LOG'!A109)</f>
        <v/>
      </c>
      <c r="B109" t="str">
        <f>IF('03_EXECUTION_LOG'!B109="","",LEFT('03_EXECUTION_LOG'!B109,7))</f>
        <v/>
      </c>
      <c r="C109" t="str">
        <f>IF('03_EXECUTION_LOG'!E109="","",'03_EXECUTION_LOG'!E109)</f>
        <v/>
      </c>
      <c r="D109" t="str">
        <f>IF(C109="","",INDEX('02_TASK_CATALOG'!E:E,MATCH(C109,'02_TASK_CATALOG'!A:A,0)))</f>
        <v/>
      </c>
      <c r="E109">
        <f>IF(C109="","",INDEX('02_TASK_CATALOG'!F:F,MATCH(C109,'02_TASK_CATALOG'!A:A,0)))</f>
        <v>0</v>
      </c>
      <c r="F109">
        <f>IF(C109="","",INDEX('02_TASK_CATALOG'!G:G,MATCH(C109,'02_TASK_CATALOG'!A:A,0)))</f>
        <v>0</v>
      </c>
      <c r="G109">
        <f>IF(C109="","",INDEX('02_TASK_CATALOG'!H:H,MATCH(C109,'02_TASK_CATALOG'!A:A,0)))</f>
        <v>0</v>
      </c>
      <c r="H109">
        <f>IF(A109="","",MAX(0,E109-F109-G109))</f>
        <v>0</v>
      </c>
      <c r="I109">
        <f>IF(A109="","",H109*IF('03_EXECUTION_LOG'!H109="",1,'03_EXECUTION_LOG'!H109)/60)</f>
        <v>0</v>
      </c>
      <c r="J109">
        <f>IF(D109="","",INDEX('01_ASSUMPTIONS'!C:C,MATCH(D109,'01_ASSUMPTIONS'!A:A,0)))</f>
        <v>0</v>
      </c>
      <c r="K109">
        <f>IF(OR(A109="",L109&lt;&gt;TRUE),0,I109*J109)</f>
        <v>0</v>
      </c>
      <c r="L109" t="b">
        <f>IF(A109="","",AND('03_EXECUTION_LOG'!F109="success",INDEX('02_TASK_CATALOG'!J:J,MATCH(C109,'02_TASK_CATALOG'!A:A,0))=TRUE,H109&gt;0,J109&gt;0,'03_EXECUTION_LOG'!J109&lt;&gt;""))</f>
        <v>0</v>
      </c>
      <c r="M109" t="str">
        <f>IF(A109="","",IF('03_EXECUTION_LOG'!F109&lt;&gt;"success","non-success status",IF(INDEX('02_TASK_CATALOG'!J:J,MATCH(C109,'02_TASK_CATALOG'!A:A,0))&lt;&gt;TRUE,"task not approved",IF(H109&lt;=0,"no net time saved",IF(J109&lt;=0,"missing labor rate",IF('03_EXECUTION_LOG'!J109="","missing evidence",""))))))</f>
        <v/>
      </c>
      <c r="N109" t="str">
        <f>IF(A109="","",IF(AND(L109=TRUE,'03_EXECUTION_LOG'!I109=FALSE),"high",IF(AND(L109=TRUE,'03_EXECUTION_LOG'!I109=TRUE),"medium","low")))</f>
        <v/>
      </c>
      <c r="O109" t="str">
        <f>IF(A109="","",IF(AND(L109=TRUE,'03_EXECUTION_LOG'!J109&lt;&gt;""),"yes","needs-review"))</f>
        <v/>
      </c>
    </row>
    <row r="110">
      <c r="A110" t="str">
        <f>IF('03_EXECUTION_LOG'!A110="","",'03_EXECUTION_LOG'!A110)</f>
        <v/>
      </c>
      <c r="B110" t="str">
        <f>IF('03_EXECUTION_LOG'!B110="","",LEFT('03_EXECUTION_LOG'!B110,7))</f>
        <v/>
      </c>
      <c r="C110" t="str">
        <f>IF('03_EXECUTION_LOG'!E110="","",'03_EXECUTION_LOG'!E110)</f>
        <v/>
      </c>
      <c r="D110" t="str">
        <f>IF(C110="","",INDEX('02_TASK_CATALOG'!E:E,MATCH(C110,'02_TASK_CATALOG'!A:A,0)))</f>
        <v/>
      </c>
      <c r="E110">
        <f>IF(C110="","",INDEX('02_TASK_CATALOG'!F:F,MATCH(C110,'02_TASK_CATALOG'!A:A,0)))</f>
        <v>0</v>
      </c>
      <c r="F110">
        <f>IF(C110="","",INDEX('02_TASK_CATALOG'!G:G,MATCH(C110,'02_TASK_CATALOG'!A:A,0)))</f>
        <v>0</v>
      </c>
      <c r="G110">
        <f>IF(C110="","",INDEX('02_TASK_CATALOG'!H:H,MATCH(C110,'02_TASK_CATALOG'!A:A,0)))</f>
        <v>0</v>
      </c>
      <c r="H110">
        <f>IF(A110="","",MAX(0,E110-F110-G110))</f>
        <v>0</v>
      </c>
      <c r="I110">
        <f>IF(A110="","",H110*IF('03_EXECUTION_LOG'!H110="",1,'03_EXECUTION_LOG'!H110)/60)</f>
        <v>0</v>
      </c>
      <c r="J110">
        <f>IF(D110="","",INDEX('01_ASSUMPTIONS'!C:C,MATCH(D110,'01_ASSUMPTIONS'!A:A,0)))</f>
        <v>0</v>
      </c>
      <c r="K110">
        <f>IF(OR(A110="",L110&lt;&gt;TRUE),0,I110*J110)</f>
        <v>0</v>
      </c>
      <c r="L110" t="b">
        <f>IF(A110="","",AND('03_EXECUTION_LOG'!F110="success",INDEX('02_TASK_CATALOG'!J:J,MATCH(C110,'02_TASK_CATALOG'!A:A,0))=TRUE,H110&gt;0,J110&gt;0,'03_EXECUTION_LOG'!J110&lt;&gt;""))</f>
        <v>0</v>
      </c>
      <c r="M110" t="str">
        <f>IF(A110="","",IF('03_EXECUTION_LOG'!F110&lt;&gt;"success","non-success status",IF(INDEX('02_TASK_CATALOG'!J:J,MATCH(C110,'02_TASK_CATALOG'!A:A,0))&lt;&gt;TRUE,"task not approved",IF(H110&lt;=0,"no net time saved",IF(J110&lt;=0,"missing labor rate",IF('03_EXECUTION_LOG'!J110="","missing evidence",""))))))</f>
        <v/>
      </c>
      <c r="N110" t="str">
        <f>IF(A110="","",IF(AND(L110=TRUE,'03_EXECUTION_LOG'!I110=FALSE),"high",IF(AND(L110=TRUE,'03_EXECUTION_LOG'!I110=TRUE),"medium","low")))</f>
        <v/>
      </c>
      <c r="O110" t="str">
        <f>IF(A110="","",IF(AND(L110=TRUE,'03_EXECUTION_LOG'!J110&lt;&gt;""),"yes","needs-review"))</f>
        <v/>
      </c>
    </row>
    <row r="111">
      <c r="A111" t="str">
        <f>IF('03_EXECUTION_LOG'!A111="","",'03_EXECUTION_LOG'!A111)</f>
        <v/>
      </c>
      <c r="B111" t="str">
        <f>IF('03_EXECUTION_LOG'!B111="","",LEFT('03_EXECUTION_LOG'!B111,7))</f>
        <v/>
      </c>
      <c r="C111" t="str">
        <f>IF('03_EXECUTION_LOG'!E111="","",'03_EXECUTION_LOG'!E111)</f>
        <v/>
      </c>
      <c r="D111" t="str">
        <f>IF(C111="","",INDEX('02_TASK_CATALOG'!E:E,MATCH(C111,'02_TASK_CATALOG'!A:A,0)))</f>
        <v/>
      </c>
      <c r="E111">
        <f>IF(C111="","",INDEX('02_TASK_CATALOG'!F:F,MATCH(C111,'02_TASK_CATALOG'!A:A,0)))</f>
        <v>0</v>
      </c>
      <c r="F111">
        <f>IF(C111="","",INDEX('02_TASK_CATALOG'!G:G,MATCH(C111,'02_TASK_CATALOG'!A:A,0)))</f>
        <v>0</v>
      </c>
      <c r="G111">
        <f>IF(C111="","",INDEX('02_TASK_CATALOG'!H:H,MATCH(C111,'02_TASK_CATALOG'!A:A,0)))</f>
        <v>0</v>
      </c>
      <c r="H111">
        <f>IF(A111="","",MAX(0,E111-F111-G111))</f>
        <v>0</v>
      </c>
      <c r="I111">
        <f>IF(A111="","",H111*IF('03_EXECUTION_LOG'!H111="",1,'03_EXECUTION_LOG'!H111)/60)</f>
        <v>0</v>
      </c>
      <c r="J111">
        <f>IF(D111="","",INDEX('01_ASSUMPTIONS'!C:C,MATCH(D111,'01_ASSUMPTIONS'!A:A,0)))</f>
        <v>0</v>
      </c>
      <c r="K111">
        <f>IF(OR(A111="",L111&lt;&gt;TRUE),0,I111*J111)</f>
        <v>0</v>
      </c>
      <c r="L111" t="b">
        <f>IF(A111="","",AND('03_EXECUTION_LOG'!F111="success",INDEX('02_TASK_CATALOG'!J:J,MATCH(C111,'02_TASK_CATALOG'!A:A,0))=TRUE,H111&gt;0,J111&gt;0,'03_EXECUTION_LOG'!J111&lt;&gt;""))</f>
        <v>0</v>
      </c>
      <c r="M111" t="str">
        <f>IF(A111="","",IF('03_EXECUTION_LOG'!F111&lt;&gt;"success","non-success status",IF(INDEX('02_TASK_CATALOG'!J:J,MATCH(C111,'02_TASK_CATALOG'!A:A,0))&lt;&gt;TRUE,"task not approved",IF(H111&lt;=0,"no net time saved",IF(J111&lt;=0,"missing labor rate",IF('03_EXECUTION_LOG'!J111="","missing evidence",""))))))</f>
        <v/>
      </c>
      <c r="N111" t="str">
        <f>IF(A111="","",IF(AND(L111=TRUE,'03_EXECUTION_LOG'!I111=FALSE),"high",IF(AND(L111=TRUE,'03_EXECUTION_LOG'!I111=TRUE),"medium","low")))</f>
        <v/>
      </c>
      <c r="O111" t="str">
        <f>IF(A111="","",IF(AND(L111=TRUE,'03_EXECUTION_LOG'!J111&lt;&gt;""),"yes","needs-review"))</f>
        <v/>
      </c>
    </row>
    <row r="112">
      <c r="A112" t="str">
        <f>IF('03_EXECUTION_LOG'!A112="","",'03_EXECUTION_LOG'!A112)</f>
        <v/>
      </c>
      <c r="B112" t="str">
        <f>IF('03_EXECUTION_LOG'!B112="","",LEFT('03_EXECUTION_LOG'!B112,7))</f>
        <v/>
      </c>
      <c r="C112" t="str">
        <f>IF('03_EXECUTION_LOG'!E112="","",'03_EXECUTION_LOG'!E112)</f>
        <v/>
      </c>
      <c r="D112" t="str">
        <f>IF(C112="","",INDEX('02_TASK_CATALOG'!E:E,MATCH(C112,'02_TASK_CATALOG'!A:A,0)))</f>
        <v/>
      </c>
      <c r="E112">
        <f>IF(C112="","",INDEX('02_TASK_CATALOG'!F:F,MATCH(C112,'02_TASK_CATALOG'!A:A,0)))</f>
        <v>0</v>
      </c>
      <c r="F112">
        <f>IF(C112="","",INDEX('02_TASK_CATALOG'!G:G,MATCH(C112,'02_TASK_CATALOG'!A:A,0)))</f>
        <v>0</v>
      </c>
      <c r="G112">
        <f>IF(C112="","",INDEX('02_TASK_CATALOG'!H:H,MATCH(C112,'02_TASK_CATALOG'!A:A,0)))</f>
        <v>0</v>
      </c>
      <c r="H112">
        <f>IF(A112="","",MAX(0,E112-F112-G112))</f>
        <v>0</v>
      </c>
      <c r="I112">
        <f>IF(A112="","",H112*IF('03_EXECUTION_LOG'!H112="",1,'03_EXECUTION_LOG'!H112)/60)</f>
        <v>0</v>
      </c>
      <c r="J112">
        <f>IF(D112="","",INDEX('01_ASSUMPTIONS'!C:C,MATCH(D112,'01_ASSUMPTIONS'!A:A,0)))</f>
        <v>0</v>
      </c>
      <c r="K112">
        <f>IF(OR(A112="",L112&lt;&gt;TRUE),0,I112*J112)</f>
        <v>0</v>
      </c>
      <c r="L112" t="b">
        <f>IF(A112="","",AND('03_EXECUTION_LOG'!F112="success",INDEX('02_TASK_CATALOG'!J:J,MATCH(C112,'02_TASK_CATALOG'!A:A,0))=TRUE,H112&gt;0,J112&gt;0,'03_EXECUTION_LOG'!J112&lt;&gt;""))</f>
        <v>0</v>
      </c>
      <c r="M112" t="str">
        <f>IF(A112="","",IF('03_EXECUTION_LOG'!F112&lt;&gt;"success","non-success status",IF(INDEX('02_TASK_CATALOG'!J:J,MATCH(C112,'02_TASK_CATALOG'!A:A,0))&lt;&gt;TRUE,"task not approved",IF(H112&lt;=0,"no net time saved",IF(J112&lt;=0,"missing labor rate",IF('03_EXECUTION_LOG'!J112="","missing evidence",""))))))</f>
        <v/>
      </c>
      <c r="N112" t="str">
        <f>IF(A112="","",IF(AND(L112=TRUE,'03_EXECUTION_LOG'!I112=FALSE),"high",IF(AND(L112=TRUE,'03_EXECUTION_LOG'!I112=TRUE),"medium","low")))</f>
        <v/>
      </c>
      <c r="O112" t="str">
        <f>IF(A112="","",IF(AND(L112=TRUE,'03_EXECUTION_LOG'!J112&lt;&gt;""),"yes","needs-review"))</f>
        <v/>
      </c>
    </row>
    <row r="113">
      <c r="A113" t="str">
        <f>IF('03_EXECUTION_LOG'!A113="","",'03_EXECUTION_LOG'!A113)</f>
        <v/>
      </c>
      <c r="B113" t="str">
        <f>IF('03_EXECUTION_LOG'!B113="","",LEFT('03_EXECUTION_LOG'!B113,7))</f>
        <v/>
      </c>
      <c r="C113" t="str">
        <f>IF('03_EXECUTION_LOG'!E113="","",'03_EXECUTION_LOG'!E113)</f>
        <v/>
      </c>
      <c r="D113" t="str">
        <f>IF(C113="","",INDEX('02_TASK_CATALOG'!E:E,MATCH(C113,'02_TASK_CATALOG'!A:A,0)))</f>
        <v/>
      </c>
      <c r="E113">
        <f>IF(C113="","",INDEX('02_TASK_CATALOG'!F:F,MATCH(C113,'02_TASK_CATALOG'!A:A,0)))</f>
        <v>0</v>
      </c>
      <c r="F113">
        <f>IF(C113="","",INDEX('02_TASK_CATALOG'!G:G,MATCH(C113,'02_TASK_CATALOG'!A:A,0)))</f>
        <v>0</v>
      </c>
      <c r="G113">
        <f>IF(C113="","",INDEX('02_TASK_CATALOG'!H:H,MATCH(C113,'02_TASK_CATALOG'!A:A,0)))</f>
        <v>0</v>
      </c>
      <c r="H113">
        <f>IF(A113="","",MAX(0,E113-F113-G113))</f>
        <v>0</v>
      </c>
      <c r="I113">
        <f>IF(A113="","",H113*IF('03_EXECUTION_LOG'!H113="",1,'03_EXECUTION_LOG'!H113)/60)</f>
        <v>0</v>
      </c>
      <c r="J113">
        <f>IF(D113="","",INDEX('01_ASSUMPTIONS'!C:C,MATCH(D113,'01_ASSUMPTIONS'!A:A,0)))</f>
        <v>0</v>
      </c>
      <c r="K113">
        <f>IF(OR(A113="",L113&lt;&gt;TRUE),0,I113*J113)</f>
        <v>0</v>
      </c>
      <c r="L113" t="b">
        <f>IF(A113="","",AND('03_EXECUTION_LOG'!F113="success",INDEX('02_TASK_CATALOG'!J:J,MATCH(C113,'02_TASK_CATALOG'!A:A,0))=TRUE,H113&gt;0,J113&gt;0,'03_EXECUTION_LOG'!J113&lt;&gt;""))</f>
        <v>0</v>
      </c>
      <c r="M113" t="str">
        <f>IF(A113="","",IF('03_EXECUTION_LOG'!F113&lt;&gt;"success","non-success status",IF(INDEX('02_TASK_CATALOG'!J:J,MATCH(C113,'02_TASK_CATALOG'!A:A,0))&lt;&gt;TRUE,"task not approved",IF(H113&lt;=0,"no net time saved",IF(J113&lt;=0,"missing labor rate",IF('03_EXECUTION_LOG'!J113="","missing evidence",""))))))</f>
        <v/>
      </c>
      <c r="N113" t="str">
        <f>IF(A113="","",IF(AND(L113=TRUE,'03_EXECUTION_LOG'!I113=FALSE),"high",IF(AND(L113=TRUE,'03_EXECUTION_LOG'!I113=TRUE),"medium","low")))</f>
        <v/>
      </c>
      <c r="O113" t="str">
        <f>IF(A113="","",IF(AND(L113=TRUE,'03_EXECUTION_LOG'!J113&lt;&gt;""),"yes","needs-review"))</f>
        <v/>
      </c>
    </row>
    <row r="114">
      <c r="A114" t="str">
        <f>IF('03_EXECUTION_LOG'!A114="","",'03_EXECUTION_LOG'!A114)</f>
        <v/>
      </c>
      <c r="B114" t="str">
        <f>IF('03_EXECUTION_LOG'!B114="","",LEFT('03_EXECUTION_LOG'!B114,7))</f>
        <v/>
      </c>
      <c r="C114" t="str">
        <f>IF('03_EXECUTION_LOG'!E114="","",'03_EXECUTION_LOG'!E114)</f>
        <v/>
      </c>
      <c r="D114" t="str">
        <f>IF(C114="","",INDEX('02_TASK_CATALOG'!E:E,MATCH(C114,'02_TASK_CATALOG'!A:A,0)))</f>
        <v/>
      </c>
      <c r="E114">
        <f>IF(C114="","",INDEX('02_TASK_CATALOG'!F:F,MATCH(C114,'02_TASK_CATALOG'!A:A,0)))</f>
        <v>0</v>
      </c>
      <c r="F114">
        <f>IF(C114="","",INDEX('02_TASK_CATALOG'!G:G,MATCH(C114,'02_TASK_CATALOG'!A:A,0)))</f>
        <v>0</v>
      </c>
      <c r="G114">
        <f>IF(C114="","",INDEX('02_TASK_CATALOG'!H:H,MATCH(C114,'02_TASK_CATALOG'!A:A,0)))</f>
        <v>0</v>
      </c>
      <c r="H114">
        <f>IF(A114="","",MAX(0,E114-F114-G114))</f>
        <v>0</v>
      </c>
      <c r="I114">
        <f>IF(A114="","",H114*IF('03_EXECUTION_LOG'!H114="",1,'03_EXECUTION_LOG'!H114)/60)</f>
        <v>0</v>
      </c>
      <c r="J114">
        <f>IF(D114="","",INDEX('01_ASSUMPTIONS'!C:C,MATCH(D114,'01_ASSUMPTIONS'!A:A,0)))</f>
        <v>0</v>
      </c>
      <c r="K114">
        <f>IF(OR(A114="",L114&lt;&gt;TRUE),0,I114*J114)</f>
        <v>0</v>
      </c>
      <c r="L114" t="b">
        <f>IF(A114="","",AND('03_EXECUTION_LOG'!F114="success",INDEX('02_TASK_CATALOG'!J:J,MATCH(C114,'02_TASK_CATALOG'!A:A,0))=TRUE,H114&gt;0,J114&gt;0,'03_EXECUTION_LOG'!J114&lt;&gt;""))</f>
        <v>0</v>
      </c>
      <c r="M114" t="str">
        <f>IF(A114="","",IF('03_EXECUTION_LOG'!F114&lt;&gt;"success","non-success status",IF(INDEX('02_TASK_CATALOG'!J:J,MATCH(C114,'02_TASK_CATALOG'!A:A,0))&lt;&gt;TRUE,"task not approved",IF(H114&lt;=0,"no net time saved",IF(J114&lt;=0,"missing labor rate",IF('03_EXECUTION_LOG'!J114="","missing evidence",""))))))</f>
        <v/>
      </c>
      <c r="N114" t="str">
        <f>IF(A114="","",IF(AND(L114=TRUE,'03_EXECUTION_LOG'!I114=FALSE),"high",IF(AND(L114=TRUE,'03_EXECUTION_LOG'!I114=TRUE),"medium","low")))</f>
        <v/>
      </c>
      <c r="O114" t="str">
        <f>IF(A114="","",IF(AND(L114=TRUE,'03_EXECUTION_LOG'!J114&lt;&gt;""),"yes","needs-review"))</f>
        <v/>
      </c>
    </row>
    <row r="115">
      <c r="A115" t="str">
        <f>IF('03_EXECUTION_LOG'!A115="","",'03_EXECUTION_LOG'!A115)</f>
        <v/>
      </c>
      <c r="B115" t="str">
        <f>IF('03_EXECUTION_LOG'!B115="","",LEFT('03_EXECUTION_LOG'!B115,7))</f>
        <v/>
      </c>
      <c r="C115" t="str">
        <f>IF('03_EXECUTION_LOG'!E115="","",'03_EXECUTION_LOG'!E115)</f>
        <v/>
      </c>
      <c r="D115" t="str">
        <f>IF(C115="","",INDEX('02_TASK_CATALOG'!E:E,MATCH(C115,'02_TASK_CATALOG'!A:A,0)))</f>
        <v/>
      </c>
      <c r="E115">
        <f>IF(C115="","",INDEX('02_TASK_CATALOG'!F:F,MATCH(C115,'02_TASK_CATALOG'!A:A,0)))</f>
        <v>0</v>
      </c>
      <c r="F115">
        <f>IF(C115="","",INDEX('02_TASK_CATALOG'!G:G,MATCH(C115,'02_TASK_CATALOG'!A:A,0)))</f>
        <v>0</v>
      </c>
      <c r="G115">
        <f>IF(C115="","",INDEX('02_TASK_CATALOG'!H:H,MATCH(C115,'02_TASK_CATALOG'!A:A,0)))</f>
        <v>0</v>
      </c>
      <c r="H115">
        <f>IF(A115="","",MAX(0,E115-F115-G115))</f>
        <v>0</v>
      </c>
      <c r="I115">
        <f>IF(A115="","",H115*IF('03_EXECUTION_LOG'!H115="",1,'03_EXECUTION_LOG'!H115)/60)</f>
        <v>0</v>
      </c>
      <c r="J115">
        <f>IF(D115="","",INDEX('01_ASSUMPTIONS'!C:C,MATCH(D115,'01_ASSUMPTIONS'!A:A,0)))</f>
        <v>0</v>
      </c>
      <c r="K115">
        <f>IF(OR(A115="",L115&lt;&gt;TRUE),0,I115*J115)</f>
        <v>0</v>
      </c>
      <c r="L115" t="b">
        <f>IF(A115="","",AND('03_EXECUTION_LOG'!F115="success",INDEX('02_TASK_CATALOG'!J:J,MATCH(C115,'02_TASK_CATALOG'!A:A,0))=TRUE,H115&gt;0,J115&gt;0,'03_EXECUTION_LOG'!J115&lt;&gt;""))</f>
        <v>0</v>
      </c>
      <c r="M115" t="str">
        <f>IF(A115="","",IF('03_EXECUTION_LOG'!F115&lt;&gt;"success","non-success status",IF(INDEX('02_TASK_CATALOG'!J:J,MATCH(C115,'02_TASK_CATALOG'!A:A,0))&lt;&gt;TRUE,"task not approved",IF(H115&lt;=0,"no net time saved",IF(J115&lt;=0,"missing labor rate",IF('03_EXECUTION_LOG'!J115="","missing evidence",""))))))</f>
        <v/>
      </c>
      <c r="N115" t="str">
        <f>IF(A115="","",IF(AND(L115=TRUE,'03_EXECUTION_LOG'!I115=FALSE),"high",IF(AND(L115=TRUE,'03_EXECUTION_LOG'!I115=TRUE),"medium","low")))</f>
        <v/>
      </c>
      <c r="O115" t="str">
        <f>IF(A115="","",IF(AND(L115=TRUE,'03_EXECUTION_LOG'!J115&lt;&gt;""),"yes","needs-review"))</f>
        <v/>
      </c>
    </row>
    <row r="116">
      <c r="A116" t="str">
        <f>IF('03_EXECUTION_LOG'!A116="","",'03_EXECUTION_LOG'!A116)</f>
        <v/>
      </c>
      <c r="B116" t="str">
        <f>IF('03_EXECUTION_LOG'!B116="","",LEFT('03_EXECUTION_LOG'!B116,7))</f>
        <v/>
      </c>
      <c r="C116" t="str">
        <f>IF('03_EXECUTION_LOG'!E116="","",'03_EXECUTION_LOG'!E116)</f>
        <v/>
      </c>
      <c r="D116" t="str">
        <f>IF(C116="","",INDEX('02_TASK_CATALOG'!E:E,MATCH(C116,'02_TASK_CATALOG'!A:A,0)))</f>
        <v/>
      </c>
      <c r="E116">
        <f>IF(C116="","",INDEX('02_TASK_CATALOG'!F:F,MATCH(C116,'02_TASK_CATALOG'!A:A,0)))</f>
        <v>0</v>
      </c>
      <c r="F116">
        <f>IF(C116="","",INDEX('02_TASK_CATALOG'!G:G,MATCH(C116,'02_TASK_CATALOG'!A:A,0)))</f>
        <v>0</v>
      </c>
      <c r="G116">
        <f>IF(C116="","",INDEX('02_TASK_CATALOG'!H:H,MATCH(C116,'02_TASK_CATALOG'!A:A,0)))</f>
        <v>0</v>
      </c>
      <c r="H116">
        <f>IF(A116="","",MAX(0,E116-F116-G116))</f>
        <v>0</v>
      </c>
      <c r="I116">
        <f>IF(A116="","",H116*IF('03_EXECUTION_LOG'!H116="",1,'03_EXECUTION_LOG'!H116)/60)</f>
        <v>0</v>
      </c>
      <c r="J116">
        <f>IF(D116="","",INDEX('01_ASSUMPTIONS'!C:C,MATCH(D116,'01_ASSUMPTIONS'!A:A,0)))</f>
        <v>0</v>
      </c>
      <c r="K116">
        <f>IF(OR(A116="",L116&lt;&gt;TRUE),0,I116*J116)</f>
        <v>0</v>
      </c>
      <c r="L116" t="b">
        <f>IF(A116="","",AND('03_EXECUTION_LOG'!F116="success",INDEX('02_TASK_CATALOG'!J:J,MATCH(C116,'02_TASK_CATALOG'!A:A,0))=TRUE,H116&gt;0,J116&gt;0,'03_EXECUTION_LOG'!J116&lt;&gt;""))</f>
        <v>0</v>
      </c>
      <c r="M116" t="str">
        <f>IF(A116="","",IF('03_EXECUTION_LOG'!F116&lt;&gt;"success","non-success status",IF(INDEX('02_TASK_CATALOG'!J:J,MATCH(C116,'02_TASK_CATALOG'!A:A,0))&lt;&gt;TRUE,"task not approved",IF(H116&lt;=0,"no net time saved",IF(J116&lt;=0,"missing labor rate",IF('03_EXECUTION_LOG'!J116="","missing evidence",""))))))</f>
        <v/>
      </c>
      <c r="N116" t="str">
        <f>IF(A116="","",IF(AND(L116=TRUE,'03_EXECUTION_LOG'!I116=FALSE),"high",IF(AND(L116=TRUE,'03_EXECUTION_LOG'!I116=TRUE),"medium","low")))</f>
        <v/>
      </c>
      <c r="O116" t="str">
        <f>IF(A116="","",IF(AND(L116=TRUE,'03_EXECUTION_LOG'!J116&lt;&gt;""),"yes","needs-review"))</f>
        <v/>
      </c>
    </row>
    <row r="117">
      <c r="A117" t="str">
        <f>IF('03_EXECUTION_LOG'!A117="","",'03_EXECUTION_LOG'!A117)</f>
        <v/>
      </c>
      <c r="B117" t="str">
        <f>IF('03_EXECUTION_LOG'!B117="","",LEFT('03_EXECUTION_LOG'!B117,7))</f>
        <v/>
      </c>
      <c r="C117" t="str">
        <f>IF('03_EXECUTION_LOG'!E117="","",'03_EXECUTION_LOG'!E117)</f>
        <v/>
      </c>
      <c r="D117" t="str">
        <f>IF(C117="","",INDEX('02_TASK_CATALOG'!E:E,MATCH(C117,'02_TASK_CATALOG'!A:A,0)))</f>
        <v/>
      </c>
      <c r="E117">
        <f>IF(C117="","",INDEX('02_TASK_CATALOG'!F:F,MATCH(C117,'02_TASK_CATALOG'!A:A,0)))</f>
        <v>0</v>
      </c>
      <c r="F117">
        <f>IF(C117="","",INDEX('02_TASK_CATALOG'!G:G,MATCH(C117,'02_TASK_CATALOG'!A:A,0)))</f>
        <v>0</v>
      </c>
      <c r="G117">
        <f>IF(C117="","",INDEX('02_TASK_CATALOG'!H:H,MATCH(C117,'02_TASK_CATALOG'!A:A,0)))</f>
        <v>0</v>
      </c>
      <c r="H117">
        <f>IF(A117="","",MAX(0,E117-F117-G117))</f>
        <v>0</v>
      </c>
      <c r="I117">
        <f>IF(A117="","",H117*IF('03_EXECUTION_LOG'!H117="",1,'03_EXECUTION_LOG'!H117)/60)</f>
        <v>0</v>
      </c>
      <c r="J117">
        <f>IF(D117="","",INDEX('01_ASSUMPTIONS'!C:C,MATCH(D117,'01_ASSUMPTIONS'!A:A,0)))</f>
        <v>0</v>
      </c>
      <c r="K117">
        <f>IF(OR(A117="",L117&lt;&gt;TRUE),0,I117*J117)</f>
        <v>0</v>
      </c>
      <c r="L117" t="b">
        <f>IF(A117="","",AND('03_EXECUTION_LOG'!F117="success",INDEX('02_TASK_CATALOG'!J:J,MATCH(C117,'02_TASK_CATALOG'!A:A,0))=TRUE,H117&gt;0,J117&gt;0,'03_EXECUTION_LOG'!J117&lt;&gt;""))</f>
        <v>0</v>
      </c>
      <c r="M117" t="str">
        <f>IF(A117="","",IF('03_EXECUTION_LOG'!F117&lt;&gt;"success","non-success status",IF(INDEX('02_TASK_CATALOG'!J:J,MATCH(C117,'02_TASK_CATALOG'!A:A,0))&lt;&gt;TRUE,"task not approved",IF(H117&lt;=0,"no net time saved",IF(J117&lt;=0,"missing labor rate",IF('03_EXECUTION_LOG'!J117="","missing evidence",""))))))</f>
        <v/>
      </c>
      <c r="N117" t="str">
        <f>IF(A117="","",IF(AND(L117=TRUE,'03_EXECUTION_LOG'!I117=FALSE),"high",IF(AND(L117=TRUE,'03_EXECUTION_LOG'!I117=TRUE),"medium","low")))</f>
        <v/>
      </c>
      <c r="O117" t="str">
        <f>IF(A117="","",IF(AND(L117=TRUE,'03_EXECUTION_LOG'!J117&lt;&gt;""),"yes","needs-review"))</f>
        <v/>
      </c>
    </row>
    <row r="118">
      <c r="A118" t="str">
        <f>IF('03_EXECUTION_LOG'!A118="","",'03_EXECUTION_LOG'!A118)</f>
        <v/>
      </c>
      <c r="B118" t="str">
        <f>IF('03_EXECUTION_LOG'!B118="","",LEFT('03_EXECUTION_LOG'!B118,7))</f>
        <v/>
      </c>
      <c r="C118" t="str">
        <f>IF('03_EXECUTION_LOG'!E118="","",'03_EXECUTION_LOG'!E118)</f>
        <v/>
      </c>
      <c r="D118" t="str">
        <f>IF(C118="","",INDEX('02_TASK_CATALOG'!E:E,MATCH(C118,'02_TASK_CATALOG'!A:A,0)))</f>
        <v/>
      </c>
      <c r="E118">
        <f>IF(C118="","",INDEX('02_TASK_CATALOG'!F:F,MATCH(C118,'02_TASK_CATALOG'!A:A,0)))</f>
        <v>0</v>
      </c>
      <c r="F118">
        <f>IF(C118="","",INDEX('02_TASK_CATALOG'!G:G,MATCH(C118,'02_TASK_CATALOG'!A:A,0)))</f>
        <v>0</v>
      </c>
      <c r="G118">
        <f>IF(C118="","",INDEX('02_TASK_CATALOG'!H:H,MATCH(C118,'02_TASK_CATALOG'!A:A,0)))</f>
        <v>0</v>
      </c>
      <c r="H118">
        <f>IF(A118="","",MAX(0,E118-F118-G118))</f>
        <v>0</v>
      </c>
      <c r="I118">
        <f>IF(A118="","",H118*IF('03_EXECUTION_LOG'!H118="",1,'03_EXECUTION_LOG'!H118)/60)</f>
        <v>0</v>
      </c>
      <c r="J118">
        <f>IF(D118="","",INDEX('01_ASSUMPTIONS'!C:C,MATCH(D118,'01_ASSUMPTIONS'!A:A,0)))</f>
        <v>0</v>
      </c>
      <c r="K118">
        <f>IF(OR(A118="",L118&lt;&gt;TRUE),0,I118*J118)</f>
        <v>0</v>
      </c>
      <c r="L118" t="b">
        <f>IF(A118="","",AND('03_EXECUTION_LOG'!F118="success",INDEX('02_TASK_CATALOG'!J:J,MATCH(C118,'02_TASK_CATALOG'!A:A,0))=TRUE,H118&gt;0,J118&gt;0,'03_EXECUTION_LOG'!J118&lt;&gt;""))</f>
        <v>0</v>
      </c>
      <c r="M118" t="str">
        <f>IF(A118="","",IF('03_EXECUTION_LOG'!F118&lt;&gt;"success","non-success status",IF(INDEX('02_TASK_CATALOG'!J:J,MATCH(C118,'02_TASK_CATALOG'!A:A,0))&lt;&gt;TRUE,"task not approved",IF(H118&lt;=0,"no net time saved",IF(J118&lt;=0,"missing labor rate",IF('03_EXECUTION_LOG'!J118="","missing evidence",""))))))</f>
        <v/>
      </c>
      <c r="N118" t="str">
        <f>IF(A118="","",IF(AND(L118=TRUE,'03_EXECUTION_LOG'!I118=FALSE),"high",IF(AND(L118=TRUE,'03_EXECUTION_LOG'!I118=TRUE),"medium","low")))</f>
        <v/>
      </c>
      <c r="O118" t="str">
        <f>IF(A118="","",IF(AND(L118=TRUE,'03_EXECUTION_LOG'!J118&lt;&gt;""),"yes","needs-review"))</f>
        <v/>
      </c>
    </row>
    <row r="119">
      <c r="A119" t="str">
        <f>IF('03_EXECUTION_LOG'!A119="","",'03_EXECUTION_LOG'!A119)</f>
        <v/>
      </c>
      <c r="B119" t="str">
        <f>IF('03_EXECUTION_LOG'!B119="","",LEFT('03_EXECUTION_LOG'!B119,7))</f>
        <v/>
      </c>
      <c r="C119" t="str">
        <f>IF('03_EXECUTION_LOG'!E119="","",'03_EXECUTION_LOG'!E119)</f>
        <v/>
      </c>
      <c r="D119" t="str">
        <f>IF(C119="","",INDEX('02_TASK_CATALOG'!E:E,MATCH(C119,'02_TASK_CATALOG'!A:A,0)))</f>
        <v/>
      </c>
      <c r="E119">
        <f>IF(C119="","",INDEX('02_TASK_CATALOG'!F:F,MATCH(C119,'02_TASK_CATALOG'!A:A,0)))</f>
        <v>0</v>
      </c>
      <c r="F119">
        <f>IF(C119="","",INDEX('02_TASK_CATALOG'!G:G,MATCH(C119,'02_TASK_CATALOG'!A:A,0)))</f>
        <v>0</v>
      </c>
      <c r="G119">
        <f>IF(C119="","",INDEX('02_TASK_CATALOG'!H:H,MATCH(C119,'02_TASK_CATALOG'!A:A,0)))</f>
        <v>0</v>
      </c>
      <c r="H119">
        <f>IF(A119="","",MAX(0,E119-F119-G119))</f>
        <v>0</v>
      </c>
      <c r="I119">
        <f>IF(A119="","",H119*IF('03_EXECUTION_LOG'!H119="",1,'03_EXECUTION_LOG'!H119)/60)</f>
        <v>0</v>
      </c>
      <c r="J119">
        <f>IF(D119="","",INDEX('01_ASSUMPTIONS'!C:C,MATCH(D119,'01_ASSUMPTIONS'!A:A,0)))</f>
        <v>0</v>
      </c>
      <c r="K119">
        <f>IF(OR(A119="",L119&lt;&gt;TRUE),0,I119*J119)</f>
        <v>0</v>
      </c>
      <c r="L119" t="b">
        <f>IF(A119="","",AND('03_EXECUTION_LOG'!F119="success",INDEX('02_TASK_CATALOG'!J:J,MATCH(C119,'02_TASK_CATALOG'!A:A,0))=TRUE,H119&gt;0,J119&gt;0,'03_EXECUTION_LOG'!J119&lt;&gt;""))</f>
        <v>0</v>
      </c>
      <c r="M119" t="str">
        <f>IF(A119="","",IF('03_EXECUTION_LOG'!F119&lt;&gt;"success","non-success status",IF(INDEX('02_TASK_CATALOG'!J:J,MATCH(C119,'02_TASK_CATALOG'!A:A,0))&lt;&gt;TRUE,"task not approved",IF(H119&lt;=0,"no net time saved",IF(J119&lt;=0,"missing labor rate",IF('03_EXECUTION_LOG'!J119="","missing evidence",""))))))</f>
        <v/>
      </c>
      <c r="N119" t="str">
        <f>IF(A119="","",IF(AND(L119=TRUE,'03_EXECUTION_LOG'!I119=FALSE),"high",IF(AND(L119=TRUE,'03_EXECUTION_LOG'!I119=TRUE),"medium","low")))</f>
        <v/>
      </c>
      <c r="O119" t="str">
        <f>IF(A119="","",IF(AND(L119=TRUE,'03_EXECUTION_LOG'!J119&lt;&gt;""),"yes","needs-review"))</f>
        <v/>
      </c>
    </row>
    <row r="120">
      <c r="A120" t="str">
        <f>IF('03_EXECUTION_LOG'!A120="","",'03_EXECUTION_LOG'!A120)</f>
        <v/>
      </c>
      <c r="B120" t="str">
        <f>IF('03_EXECUTION_LOG'!B120="","",LEFT('03_EXECUTION_LOG'!B120,7))</f>
        <v/>
      </c>
      <c r="C120" t="str">
        <f>IF('03_EXECUTION_LOG'!E120="","",'03_EXECUTION_LOG'!E120)</f>
        <v/>
      </c>
      <c r="D120" t="str">
        <f>IF(C120="","",INDEX('02_TASK_CATALOG'!E:E,MATCH(C120,'02_TASK_CATALOG'!A:A,0)))</f>
        <v/>
      </c>
      <c r="E120">
        <f>IF(C120="","",INDEX('02_TASK_CATALOG'!F:F,MATCH(C120,'02_TASK_CATALOG'!A:A,0)))</f>
        <v>0</v>
      </c>
      <c r="F120">
        <f>IF(C120="","",INDEX('02_TASK_CATALOG'!G:G,MATCH(C120,'02_TASK_CATALOG'!A:A,0)))</f>
        <v>0</v>
      </c>
      <c r="G120">
        <f>IF(C120="","",INDEX('02_TASK_CATALOG'!H:H,MATCH(C120,'02_TASK_CATALOG'!A:A,0)))</f>
        <v>0</v>
      </c>
      <c r="H120">
        <f>IF(A120="","",MAX(0,E120-F120-G120))</f>
        <v>0</v>
      </c>
      <c r="I120">
        <f>IF(A120="","",H120*IF('03_EXECUTION_LOG'!H120="",1,'03_EXECUTION_LOG'!H120)/60)</f>
        <v>0</v>
      </c>
      <c r="J120">
        <f>IF(D120="","",INDEX('01_ASSUMPTIONS'!C:C,MATCH(D120,'01_ASSUMPTIONS'!A:A,0)))</f>
        <v>0</v>
      </c>
      <c r="K120">
        <f>IF(OR(A120="",L120&lt;&gt;TRUE),0,I120*J120)</f>
        <v>0</v>
      </c>
      <c r="L120" t="b">
        <f>IF(A120="","",AND('03_EXECUTION_LOG'!F120="success",INDEX('02_TASK_CATALOG'!J:J,MATCH(C120,'02_TASK_CATALOG'!A:A,0))=TRUE,H120&gt;0,J120&gt;0,'03_EXECUTION_LOG'!J120&lt;&gt;""))</f>
        <v>0</v>
      </c>
      <c r="M120" t="str">
        <f>IF(A120="","",IF('03_EXECUTION_LOG'!F120&lt;&gt;"success","non-success status",IF(INDEX('02_TASK_CATALOG'!J:J,MATCH(C120,'02_TASK_CATALOG'!A:A,0))&lt;&gt;TRUE,"task not approved",IF(H120&lt;=0,"no net time saved",IF(J120&lt;=0,"missing labor rate",IF('03_EXECUTION_LOG'!J120="","missing evidence",""))))))</f>
        <v/>
      </c>
      <c r="N120" t="str">
        <f>IF(A120="","",IF(AND(L120=TRUE,'03_EXECUTION_LOG'!I120=FALSE),"high",IF(AND(L120=TRUE,'03_EXECUTION_LOG'!I120=TRUE),"medium","low")))</f>
        <v/>
      </c>
      <c r="O120" t="str">
        <f>IF(A120="","",IF(AND(L120=TRUE,'03_EXECUTION_LOG'!J120&lt;&gt;""),"yes","needs-review"))</f>
        <v/>
      </c>
    </row>
    <row r="121">
      <c r="A121" t="str">
        <f>IF('03_EXECUTION_LOG'!A121="","",'03_EXECUTION_LOG'!A121)</f>
        <v/>
      </c>
      <c r="B121" t="str">
        <f>IF('03_EXECUTION_LOG'!B121="","",LEFT('03_EXECUTION_LOG'!B121,7))</f>
        <v/>
      </c>
      <c r="C121" t="str">
        <f>IF('03_EXECUTION_LOG'!E121="","",'03_EXECUTION_LOG'!E121)</f>
        <v/>
      </c>
      <c r="D121" t="str">
        <f>IF(C121="","",INDEX('02_TASK_CATALOG'!E:E,MATCH(C121,'02_TASK_CATALOG'!A:A,0)))</f>
        <v/>
      </c>
      <c r="E121">
        <f>IF(C121="","",INDEX('02_TASK_CATALOG'!F:F,MATCH(C121,'02_TASK_CATALOG'!A:A,0)))</f>
        <v>0</v>
      </c>
      <c r="F121">
        <f>IF(C121="","",INDEX('02_TASK_CATALOG'!G:G,MATCH(C121,'02_TASK_CATALOG'!A:A,0)))</f>
        <v>0</v>
      </c>
      <c r="G121">
        <f>IF(C121="","",INDEX('02_TASK_CATALOG'!H:H,MATCH(C121,'02_TASK_CATALOG'!A:A,0)))</f>
        <v>0</v>
      </c>
      <c r="H121">
        <f>IF(A121="","",MAX(0,E121-F121-G121))</f>
        <v>0</v>
      </c>
      <c r="I121">
        <f>IF(A121="","",H121*IF('03_EXECUTION_LOG'!H121="",1,'03_EXECUTION_LOG'!H121)/60)</f>
        <v>0</v>
      </c>
      <c r="J121">
        <f>IF(D121="","",INDEX('01_ASSUMPTIONS'!C:C,MATCH(D121,'01_ASSUMPTIONS'!A:A,0)))</f>
        <v>0</v>
      </c>
      <c r="K121">
        <f>IF(OR(A121="",L121&lt;&gt;TRUE),0,I121*J121)</f>
        <v>0</v>
      </c>
      <c r="L121" t="b">
        <f>IF(A121="","",AND('03_EXECUTION_LOG'!F121="success",INDEX('02_TASK_CATALOG'!J:J,MATCH(C121,'02_TASK_CATALOG'!A:A,0))=TRUE,H121&gt;0,J121&gt;0,'03_EXECUTION_LOG'!J121&lt;&gt;""))</f>
        <v>0</v>
      </c>
      <c r="M121" t="str">
        <f>IF(A121="","",IF('03_EXECUTION_LOG'!F121&lt;&gt;"success","non-success status",IF(INDEX('02_TASK_CATALOG'!J:J,MATCH(C121,'02_TASK_CATALOG'!A:A,0))&lt;&gt;TRUE,"task not approved",IF(H121&lt;=0,"no net time saved",IF(J121&lt;=0,"missing labor rate",IF('03_EXECUTION_LOG'!J121="","missing evidence",""))))))</f>
        <v/>
      </c>
      <c r="N121" t="str">
        <f>IF(A121="","",IF(AND(L121=TRUE,'03_EXECUTION_LOG'!I121=FALSE),"high",IF(AND(L121=TRUE,'03_EXECUTION_LOG'!I121=TRUE),"medium","low")))</f>
        <v/>
      </c>
      <c r="O121" t="str">
        <f>IF(A121="","",IF(AND(L121=TRUE,'03_EXECUTION_LOG'!J121&lt;&gt;""),"yes","needs-review"))</f>
        <v/>
      </c>
    </row>
    <row r="122">
      <c r="A122" t="str">
        <f>IF('03_EXECUTION_LOG'!A122="","",'03_EXECUTION_LOG'!A122)</f>
        <v/>
      </c>
      <c r="B122" t="str">
        <f>IF('03_EXECUTION_LOG'!B122="","",LEFT('03_EXECUTION_LOG'!B122,7))</f>
        <v/>
      </c>
      <c r="C122" t="str">
        <f>IF('03_EXECUTION_LOG'!E122="","",'03_EXECUTION_LOG'!E122)</f>
        <v/>
      </c>
      <c r="D122" t="str">
        <f>IF(C122="","",INDEX('02_TASK_CATALOG'!E:E,MATCH(C122,'02_TASK_CATALOG'!A:A,0)))</f>
        <v/>
      </c>
      <c r="E122">
        <f>IF(C122="","",INDEX('02_TASK_CATALOG'!F:F,MATCH(C122,'02_TASK_CATALOG'!A:A,0)))</f>
        <v>0</v>
      </c>
      <c r="F122">
        <f>IF(C122="","",INDEX('02_TASK_CATALOG'!G:G,MATCH(C122,'02_TASK_CATALOG'!A:A,0)))</f>
        <v>0</v>
      </c>
      <c r="G122">
        <f>IF(C122="","",INDEX('02_TASK_CATALOG'!H:H,MATCH(C122,'02_TASK_CATALOG'!A:A,0)))</f>
        <v>0</v>
      </c>
      <c r="H122">
        <f>IF(A122="","",MAX(0,E122-F122-G122))</f>
        <v>0</v>
      </c>
      <c r="I122">
        <f>IF(A122="","",H122*IF('03_EXECUTION_LOG'!H122="",1,'03_EXECUTION_LOG'!H122)/60)</f>
        <v>0</v>
      </c>
      <c r="J122">
        <f>IF(D122="","",INDEX('01_ASSUMPTIONS'!C:C,MATCH(D122,'01_ASSUMPTIONS'!A:A,0)))</f>
        <v>0</v>
      </c>
      <c r="K122">
        <f>IF(OR(A122="",L122&lt;&gt;TRUE),0,I122*J122)</f>
        <v>0</v>
      </c>
      <c r="L122" t="b">
        <f>IF(A122="","",AND('03_EXECUTION_LOG'!F122="success",INDEX('02_TASK_CATALOG'!J:J,MATCH(C122,'02_TASK_CATALOG'!A:A,0))=TRUE,H122&gt;0,J122&gt;0,'03_EXECUTION_LOG'!J122&lt;&gt;""))</f>
        <v>0</v>
      </c>
      <c r="M122" t="str">
        <f>IF(A122="","",IF('03_EXECUTION_LOG'!F122&lt;&gt;"success","non-success status",IF(INDEX('02_TASK_CATALOG'!J:J,MATCH(C122,'02_TASK_CATALOG'!A:A,0))&lt;&gt;TRUE,"task not approved",IF(H122&lt;=0,"no net time saved",IF(J122&lt;=0,"missing labor rate",IF('03_EXECUTION_LOG'!J122="","missing evidence",""))))))</f>
        <v/>
      </c>
      <c r="N122" t="str">
        <f>IF(A122="","",IF(AND(L122=TRUE,'03_EXECUTION_LOG'!I122=FALSE),"high",IF(AND(L122=TRUE,'03_EXECUTION_LOG'!I122=TRUE),"medium","low")))</f>
        <v/>
      </c>
      <c r="O122" t="str">
        <f>IF(A122="","",IF(AND(L122=TRUE,'03_EXECUTION_LOG'!J122&lt;&gt;""),"yes","needs-review"))</f>
        <v/>
      </c>
    </row>
    <row r="123">
      <c r="A123" t="str">
        <f>IF('03_EXECUTION_LOG'!A123="","",'03_EXECUTION_LOG'!A123)</f>
        <v/>
      </c>
      <c r="B123" t="str">
        <f>IF('03_EXECUTION_LOG'!B123="","",LEFT('03_EXECUTION_LOG'!B123,7))</f>
        <v/>
      </c>
      <c r="C123" t="str">
        <f>IF('03_EXECUTION_LOG'!E123="","",'03_EXECUTION_LOG'!E123)</f>
        <v/>
      </c>
      <c r="D123" t="str">
        <f>IF(C123="","",INDEX('02_TASK_CATALOG'!E:E,MATCH(C123,'02_TASK_CATALOG'!A:A,0)))</f>
        <v/>
      </c>
      <c r="E123">
        <f>IF(C123="","",INDEX('02_TASK_CATALOG'!F:F,MATCH(C123,'02_TASK_CATALOG'!A:A,0)))</f>
        <v>0</v>
      </c>
      <c r="F123">
        <f>IF(C123="","",INDEX('02_TASK_CATALOG'!G:G,MATCH(C123,'02_TASK_CATALOG'!A:A,0)))</f>
        <v>0</v>
      </c>
      <c r="G123">
        <f>IF(C123="","",INDEX('02_TASK_CATALOG'!H:H,MATCH(C123,'02_TASK_CATALOG'!A:A,0)))</f>
        <v>0</v>
      </c>
      <c r="H123">
        <f>IF(A123="","",MAX(0,E123-F123-G123))</f>
        <v>0</v>
      </c>
      <c r="I123">
        <f>IF(A123="","",H123*IF('03_EXECUTION_LOG'!H123="",1,'03_EXECUTION_LOG'!H123)/60)</f>
        <v>0</v>
      </c>
      <c r="J123">
        <f>IF(D123="","",INDEX('01_ASSUMPTIONS'!C:C,MATCH(D123,'01_ASSUMPTIONS'!A:A,0)))</f>
        <v>0</v>
      </c>
      <c r="K123">
        <f>IF(OR(A123="",L123&lt;&gt;TRUE),0,I123*J123)</f>
        <v>0</v>
      </c>
      <c r="L123" t="b">
        <f>IF(A123="","",AND('03_EXECUTION_LOG'!F123="success",INDEX('02_TASK_CATALOG'!J:J,MATCH(C123,'02_TASK_CATALOG'!A:A,0))=TRUE,H123&gt;0,J123&gt;0,'03_EXECUTION_LOG'!J123&lt;&gt;""))</f>
        <v>0</v>
      </c>
      <c r="M123" t="str">
        <f>IF(A123="","",IF('03_EXECUTION_LOG'!F123&lt;&gt;"success","non-success status",IF(INDEX('02_TASK_CATALOG'!J:J,MATCH(C123,'02_TASK_CATALOG'!A:A,0))&lt;&gt;TRUE,"task not approved",IF(H123&lt;=0,"no net time saved",IF(J123&lt;=0,"missing labor rate",IF('03_EXECUTION_LOG'!J123="","missing evidence",""))))))</f>
        <v/>
      </c>
      <c r="N123" t="str">
        <f>IF(A123="","",IF(AND(L123=TRUE,'03_EXECUTION_LOG'!I123=FALSE),"high",IF(AND(L123=TRUE,'03_EXECUTION_LOG'!I123=TRUE),"medium","low")))</f>
        <v/>
      </c>
      <c r="O123" t="str">
        <f>IF(A123="","",IF(AND(L123=TRUE,'03_EXECUTION_LOG'!J123&lt;&gt;""),"yes","needs-review"))</f>
        <v/>
      </c>
    </row>
    <row r="124">
      <c r="A124" t="str">
        <f>IF('03_EXECUTION_LOG'!A124="","",'03_EXECUTION_LOG'!A124)</f>
        <v/>
      </c>
      <c r="B124" t="str">
        <f>IF('03_EXECUTION_LOG'!B124="","",LEFT('03_EXECUTION_LOG'!B124,7))</f>
        <v/>
      </c>
      <c r="C124" t="str">
        <f>IF('03_EXECUTION_LOG'!E124="","",'03_EXECUTION_LOG'!E124)</f>
        <v/>
      </c>
      <c r="D124" t="str">
        <f>IF(C124="","",INDEX('02_TASK_CATALOG'!E:E,MATCH(C124,'02_TASK_CATALOG'!A:A,0)))</f>
        <v/>
      </c>
      <c r="E124">
        <f>IF(C124="","",INDEX('02_TASK_CATALOG'!F:F,MATCH(C124,'02_TASK_CATALOG'!A:A,0)))</f>
        <v>0</v>
      </c>
      <c r="F124">
        <f>IF(C124="","",INDEX('02_TASK_CATALOG'!G:G,MATCH(C124,'02_TASK_CATALOG'!A:A,0)))</f>
        <v>0</v>
      </c>
      <c r="G124">
        <f>IF(C124="","",INDEX('02_TASK_CATALOG'!H:H,MATCH(C124,'02_TASK_CATALOG'!A:A,0)))</f>
        <v>0</v>
      </c>
      <c r="H124">
        <f>IF(A124="","",MAX(0,E124-F124-G124))</f>
        <v>0</v>
      </c>
      <c r="I124">
        <f>IF(A124="","",H124*IF('03_EXECUTION_LOG'!H124="",1,'03_EXECUTION_LOG'!H124)/60)</f>
        <v>0</v>
      </c>
      <c r="J124">
        <f>IF(D124="","",INDEX('01_ASSUMPTIONS'!C:C,MATCH(D124,'01_ASSUMPTIONS'!A:A,0)))</f>
        <v>0</v>
      </c>
      <c r="K124">
        <f>IF(OR(A124="",L124&lt;&gt;TRUE),0,I124*J124)</f>
        <v>0</v>
      </c>
      <c r="L124" t="b">
        <f>IF(A124="","",AND('03_EXECUTION_LOG'!F124="success",INDEX('02_TASK_CATALOG'!J:J,MATCH(C124,'02_TASK_CATALOG'!A:A,0))=TRUE,H124&gt;0,J124&gt;0,'03_EXECUTION_LOG'!J124&lt;&gt;""))</f>
        <v>0</v>
      </c>
      <c r="M124" t="str">
        <f>IF(A124="","",IF('03_EXECUTION_LOG'!F124&lt;&gt;"success","non-success status",IF(INDEX('02_TASK_CATALOG'!J:J,MATCH(C124,'02_TASK_CATALOG'!A:A,0))&lt;&gt;TRUE,"task not approved",IF(H124&lt;=0,"no net time saved",IF(J124&lt;=0,"missing labor rate",IF('03_EXECUTION_LOG'!J124="","missing evidence",""))))))</f>
        <v/>
      </c>
      <c r="N124" t="str">
        <f>IF(A124="","",IF(AND(L124=TRUE,'03_EXECUTION_LOG'!I124=FALSE),"high",IF(AND(L124=TRUE,'03_EXECUTION_LOG'!I124=TRUE),"medium","low")))</f>
        <v/>
      </c>
      <c r="O124" t="str">
        <f>IF(A124="","",IF(AND(L124=TRUE,'03_EXECUTION_LOG'!J124&lt;&gt;""),"yes","needs-review"))</f>
        <v/>
      </c>
    </row>
    <row r="125">
      <c r="A125" t="str">
        <f>IF('03_EXECUTION_LOG'!A125="","",'03_EXECUTION_LOG'!A125)</f>
        <v/>
      </c>
      <c r="B125" t="str">
        <f>IF('03_EXECUTION_LOG'!B125="","",LEFT('03_EXECUTION_LOG'!B125,7))</f>
        <v/>
      </c>
      <c r="C125" t="str">
        <f>IF('03_EXECUTION_LOG'!E125="","",'03_EXECUTION_LOG'!E125)</f>
        <v/>
      </c>
      <c r="D125" t="str">
        <f>IF(C125="","",INDEX('02_TASK_CATALOG'!E:E,MATCH(C125,'02_TASK_CATALOG'!A:A,0)))</f>
        <v/>
      </c>
      <c r="E125">
        <f>IF(C125="","",INDEX('02_TASK_CATALOG'!F:F,MATCH(C125,'02_TASK_CATALOG'!A:A,0)))</f>
        <v>0</v>
      </c>
      <c r="F125">
        <f>IF(C125="","",INDEX('02_TASK_CATALOG'!G:G,MATCH(C125,'02_TASK_CATALOG'!A:A,0)))</f>
        <v>0</v>
      </c>
      <c r="G125">
        <f>IF(C125="","",INDEX('02_TASK_CATALOG'!H:H,MATCH(C125,'02_TASK_CATALOG'!A:A,0)))</f>
        <v>0</v>
      </c>
      <c r="H125">
        <f>IF(A125="","",MAX(0,E125-F125-G125))</f>
        <v>0</v>
      </c>
      <c r="I125">
        <f>IF(A125="","",H125*IF('03_EXECUTION_LOG'!H125="",1,'03_EXECUTION_LOG'!H125)/60)</f>
        <v>0</v>
      </c>
      <c r="J125">
        <f>IF(D125="","",INDEX('01_ASSUMPTIONS'!C:C,MATCH(D125,'01_ASSUMPTIONS'!A:A,0)))</f>
        <v>0</v>
      </c>
      <c r="K125">
        <f>IF(OR(A125="",L125&lt;&gt;TRUE),0,I125*J125)</f>
        <v>0</v>
      </c>
      <c r="L125" t="b">
        <f>IF(A125="","",AND('03_EXECUTION_LOG'!F125="success",INDEX('02_TASK_CATALOG'!J:J,MATCH(C125,'02_TASK_CATALOG'!A:A,0))=TRUE,H125&gt;0,J125&gt;0,'03_EXECUTION_LOG'!J125&lt;&gt;""))</f>
        <v>0</v>
      </c>
      <c r="M125" t="str">
        <f>IF(A125="","",IF('03_EXECUTION_LOG'!F125&lt;&gt;"success","non-success status",IF(INDEX('02_TASK_CATALOG'!J:J,MATCH(C125,'02_TASK_CATALOG'!A:A,0))&lt;&gt;TRUE,"task not approved",IF(H125&lt;=0,"no net time saved",IF(J125&lt;=0,"missing labor rate",IF('03_EXECUTION_LOG'!J125="","missing evidence",""))))))</f>
        <v/>
      </c>
      <c r="N125" t="str">
        <f>IF(A125="","",IF(AND(L125=TRUE,'03_EXECUTION_LOG'!I125=FALSE),"high",IF(AND(L125=TRUE,'03_EXECUTION_LOG'!I125=TRUE),"medium","low")))</f>
        <v/>
      </c>
      <c r="O125" t="str">
        <f>IF(A125="","",IF(AND(L125=TRUE,'03_EXECUTION_LOG'!J125&lt;&gt;""),"yes","needs-review"))</f>
        <v/>
      </c>
    </row>
    <row r="126">
      <c r="A126" t="str">
        <f>IF('03_EXECUTION_LOG'!A126="","",'03_EXECUTION_LOG'!A126)</f>
        <v/>
      </c>
      <c r="B126" t="str">
        <f>IF('03_EXECUTION_LOG'!B126="","",LEFT('03_EXECUTION_LOG'!B126,7))</f>
        <v/>
      </c>
      <c r="C126" t="str">
        <f>IF('03_EXECUTION_LOG'!E126="","",'03_EXECUTION_LOG'!E126)</f>
        <v/>
      </c>
      <c r="D126" t="str">
        <f>IF(C126="","",INDEX('02_TASK_CATALOG'!E:E,MATCH(C126,'02_TASK_CATALOG'!A:A,0)))</f>
        <v/>
      </c>
      <c r="E126">
        <f>IF(C126="","",INDEX('02_TASK_CATALOG'!F:F,MATCH(C126,'02_TASK_CATALOG'!A:A,0)))</f>
        <v>0</v>
      </c>
      <c r="F126">
        <f>IF(C126="","",INDEX('02_TASK_CATALOG'!G:G,MATCH(C126,'02_TASK_CATALOG'!A:A,0)))</f>
        <v>0</v>
      </c>
      <c r="G126">
        <f>IF(C126="","",INDEX('02_TASK_CATALOG'!H:H,MATCH(C126,'02_TASK_CATALOG'!A:A,0)))</f>
        <v>0</v>
      </c>
      <c r="H126">
        <f>IF(A126="","",MAX(0,E126-F126-G126))</f>
        <v>0</v>
      </c>
      <c r="I126">
        <f>IF(A126="","",H126*IF('03_EXECUTION_LOG'!H126="",1,'03_EXECUTION_LOG'!H126)/60)</f>
        <v>0</v>
      </c>
      <c r="J126">
        <f>IF(D126="","",INDEX('01_ASSUMPTIONS'!C:C,MATCH(D126,'01_ASSUMPTIONS'!A:A,0)))</f>
        <v>0</v>
      </c>
      <c r="K126">
        <f>IF(OR(A126="",L126&lt;&gt;TRUE),0,I126*J126)</f>
        <v>0</v>
      </c>
      <c r="L126" t="b">
        <f>IF(A126="","",AND('03_EXECUTION_LOG'!F126="success",INDEX('02_TASK_CATALOG'!J:J,MATCH(C126,'02_TASK_CATALOG'!A:A,0))=TRUE,H126&gt;0,J126&gt;0,'03_EXECUTION_LOG'!J126&lt;&gt;""))</f>
        <v>0</v>
      </c>
      <c r="M126" t="str">
        <f>IF(A126="","",IF('03_EXECUTION_LOG'!F126&lt;&gt;"success","non-success status",IF(INDEX('02_TASK_CATALOG'!J:J,MATCH(C126,'02_TASK_CATALOG'!A:A,0))&lt;&gt;TRUE,"task not approved",IF(H126&lt;=0,"no net time saved",IF(J126&lt;=0,"missing labor rate",IF('03_EXECUTION_LOG'!J126="","missing evidence",""))))))</f>
        <v/>
      </c>
      <c r="N126" t="str">
        <f>IF(A126="","",IF(AND(L126=TRUE,'03_EXECUTION_LOG'!I126=FALSE),"high",IF(AND(L126=TRUE,'03_EXECUTION_LOG'!I126=TRUE),"medium","low")))</f>
        <v/>
      </c>
      <c r="O126" t="str">
        <f>IF(A126="","",IF(AND(L126=TRUE,'03_EXECUTION_LOG'!J126&lt;&gt;""),"yes","needs-review"))</f>
        <v/>
      </c>
    </row>
    <row r="127">
      <c r="A127" t="str">
        <f>IF('03_EXECUTION_LOG'!A127="","",'03_EXECUTION_LOG'!A127)</f>
        <v/>
      </c>
      <c r="B127" t="str">
        <f>IF('03_EXECUTION_LOG'!B127="","",LEFT('03_EXECUTION_LOG'!B127,7))</f>
        <v/>
      </c>
      <c r="C127" t="str">
        <f>IF('03_EXECUTION_LOG'!E127="","",'03_EXECUTION_LOG'!E127)</f>
        <v/>
      </c>
      <c r="D127" t="str">
        <f>IF(C127="","",INDEX('02_TASK_CATALOG'!E:E,MATCH(C127,'02_TASK_CATALOG'!A:A,0)))</f>
        <v/>
      </c>
      <c r="E127">
        <f>IF(C127="","",INDEX('02_TASK_CATALOG'!F:F,MATCH(C127,'02_TASK_CATALOG'!A:A,0)))</f>
        <v>0</v>
      </c>
      <c r="F127">
        <f>IF(C127="","",INDEX('02_TASK_CATALOG'!G:G,MATCH(C127,'02_TASK_CATALOG'!A:A,0)))</f>
        <v>0</v>
      </c>
      <c r="G127">
        <f>IF(C127="","",INDEX('02_TASK_CATALOG'!H:H,MATCH(C127,'02_TASK_CATALOG'!A:A,0)))</f>
        <v>0</v>
      </c>
      <c r="H127">
        <f>IF(A127="","",MAX(0,E127-F127-G127))</f>
        <v>0</v>
      </c>
      <c r="I127">
        <f>IF(A127="","",H127*IF('03_EXECUTION_LOG'!H127="",1,'03_EXECUTION_LOG'!H127)/60)</f>
        <v>0</v>
      </c>
      <c r="J127">
        <f>IF(D127="","",INDEX('01_ASSUMPTIONS'!C:C,MATCH(D127,'01_ASSUMPTIONS'!A:A,0)))</f>
        <v>0</v>
      </c>
      <c r="K127">
        <f>IF(OR(A127="",L127&lt;&gt;TRUE),0,I127*J127)</f>
        <v>0</v>
      </c>
      <c r="L127" t="b">
        <f>IF(A127="","",AND('03_EXECUTION_LOG'!F127="success",INDEX('02_TASK_CATALOG'!J:J,MATCH(C127,'02_TASK_CATALOG'!A:A,0))=TRUE,H127&gt;0,J127&gt;0,'03_EXECUTION_LOG'!J127&lt;&gt;""))</f>
        <v>0</v>
      </c>
      <c r="M127" t="str">
        <f>IF(A127="","",IF('03_EXECUTION_LOG'!F127&lt;&gt;"success","non-success status",IF(INDEX('02_TASK_CATALOG'!J:J,MATCH(C127,'02_TASK_CATALOG'!A:A,0))&lt;&gt;TRUE,"task not approved",IF(H127&lt;=0,"no net time saved",IF(J127&lt;=0,"missing labor rate",IF('03_EXECUTION_LOG'!J127="","missing evidence",""))))))</f>
        <v/>
      </c>
      <c r="N127" t="str">
        <f>IF(A127="","",IF(AND(L127=TRUE,'03_EXECUTION_LOG'!I127=FALSE),"high",IF(AND(L127=TRUE,'03_EXECUTION_LOG'!I127=TRUE),"medium","low")))</f>
        <v/>
      </c>
      <c r="O127" t="str">
        <f>IF(A127="","",IF(AND(L127=TRUE,'03_EXECUTION_LOG'!J127&lt;&gt;""),"yes","needs-review"))</f>
        <v/>
      </c>
    </row>
    <row r="128">
      <c r="A128" t="str">
        <f>IF('03_EXECUTION_LOG'!A128="","",'03_EXECUTION_LOG'!A128)</f>
        <v/>
      </c>
      <c r="B128" t="str">
        <f>IF('03_EXECUTION_LOG'!B128="","",LEFT('03_EXECUTION_LOG'!B128,7))</f>
        <v/>
      </c>
      <c r="C128" t="str">
        <f>IF('03_EXECUTION_LOG'!E128="","",'03_EXECUTION_LOG'!E128)</f>
        <v/>
      </c>
      <c r="D128" t="str">
        <f>IF(C128="","",INDEX('02_TASK_CATALOG'!E:E,MATCH(C128,'02_TASK_CATALOG'!A:A,0)))</f>
        <v/>
      </c>
      <c r="E128">
        <f>IF(C128="","",INDEX('02_TASK_CATALOG'!F:F,MATCH(C128,'02_TASK_CATALOG'!A:A,0)))</f>
        <v>0</v>
      </c>
      <c r="F128">
        <f>IF(C128="","",INDEX('02_TASK_CATALOG'!G:G,MATCH(C128,'02_TASK_CATALOG'!A:A,0)))</f>
        <v>0</v>
      </c>
      <c r="G128">
        <f>IF(C128="","",INDEX('02_TASK_CATALOG'!H:H,MATCH(C128,'02_TASK_CATALOG'!A:A,0)))</f>
        <v>0</v>
      </c>
      <c r="H128">
        <f>IF(A128="","",MAX(0,E128-F128-G128))</f>
        <v>0</v>
      </c>
      <c r="I128">
        <f>IF(A128="","",H128*IF('03_EXECUTION_LOG'!H128="",1,'03_EXECUTION_LOG'!H128)/60)</f>
        <v>0</v>
      </c>
      <c r="J128">
        <f>IF(D128="","",INDEX('01_ASSUMPTIONS'!C:C,MATCH(D128,'01_ASSUMPTIONS'!A:A,0)))</f>
        <v>0</v>
      </c>
      <c r="K128">
        <f>IF(OR(A128="",L128&lt;&gt;TRUE),0,I128*J128)</f>
        <v>0</v>
      </c>
      <c r="L128" t="b">
        <f>IF(A128="","",AND('03_EXECUTION_LOG'!F128="success",INDEX('02_TASK_CATALOG'!J:J,MATCH(C128,'02_TASK_CATALOG'!A:A,0))=TRUE,H128&gt;0,J128&gt;0,'03_EXECUTION_LOG'!J128&lt;&gt;""))</f>
        <v>0</v>
      </c>
      <c r="M128" t="str">
        <f>IF(A128="","",IF('03_EXECUTION_LOG'!F128&lt;&gt;"success","non-success status",IF(INDEX('02_TASK_CATALOG'!J:J,MATCH(C128,'02_TASK_CATALOG'!A:A,0))&lt;&gt;TRUE,"task not approved",IF(H128&lt;=0,"no net time saved",IF(J128&lt;=0,"missing labor rate",IF('03_EXECUTION_LOG'!J128="","missing evidence",""))))))</f>
        <v/>
      </c>
      <c r="N128" t="str">
        <f>IF(A128="","",IF(AND(L128=TRUE,'03_EXECUTION_LOG'!I128=FALSE),"high",IF(AND(L128=TRUE,'03_EXECUTION_LOG'!I128=TRUE),"medium","low")))</f>
        <v/>
      </c>
      <c r="O128" t="str">
        <f>IF(A128="","",IF(AND(L128=TRUE,'03_EXECUTION_LOG'!J128&lt;&gt;""),"yes","needs-review"))</f>
        <v/>
      </c>
    </row>
    <row r="129">
      <c r="A129" t="str">
        <f>IF('03_EXECUTION_LOG'!A129="","",'03_EXECUTION_LOG'!A129)</f>
        <v/>
      </c>
      <c r="B129" t="str">
        <f>IF('03_EXECUTION_LOG'!B129="","",LEFT('03_EXECUTION_LOG'!B129,7))</f>
        <v/>
      </c>
      <c r="C129" t="str">
        <f>IF('03_EXECUTION_LOG'!E129="","",'03_EXECUTION_LOG'!E129)</f>
        <v/>
      </c>
      <c r="D129" t="str">
        <f>IF(C129="","",INDEX('02_TASK_CATALOG'!E:E,MATCH(C129,'02_TASK_CATALOG'!A:A,0)))</f>
        <v/>
      </c>
      <c r="E129">
        <f>IF(C129="","",INDEX('02_TASK_CATALOG'!F:F,MATCH(C129,'02_TASK_CATALOG'!A:A,0)))</f>
        <v>0</v>
      </c>
      <c r="F129">
        <f>IF(C129="","",INDEX('02_TASK_CATALOG'!G:G,MATCH(C129,'02_TASK_CATALOG'!A:A,0)))</f>
        <v>0</v>
      </c>
      <c r="G129">
        <f>IF(C129="","",INDEX('02_TASK_CATALOG'!H:H,MATCH(C129,'02_TASK_CATALOG'!A:A,0)))</f>
        <v>0</v>
      </c>
      <c r="H129">
        <f>IF(A129="","",MAX(0,E129-F129-G129))</f>
        <v>0</v>
      </c>
      <c r="I129">
        <f>IF(A129="","",H129*IF('03_EXECUTION_LOG'!H129="",1,'03_EXECUTION_LOG'!H129)/60)</f>
        <v>0</v>
      </c>
      <c r="J129">
        <f>IF(D129="","",INDEX('01_ASSUMPTIONS'!C:C,MATCH(D129,'01_ASSUMPTIONS'!A:A,0)))</f>
        <v>0</v>
      </c>
      <c r="K129">
        <f>IF(OR(A129="",L129&lt;&gt;TRUE),0,I129*J129)</f>
        <v>0</v>
      </c>
      <c r="L129" t="b">
        <f>IF(A129="","",AND('03_EXECUTION_LOG'!F129="success",INDEX('02_TASK_CATALOG'!J:J,MATCH(C129,'02_TASK_CATALOG'!A:A,0))=TRUE,H129&gt;0,J129&gt;0,'03_EXECUTION_LOG'!J129&lt;&gt;""))</f>
        <v>0</v>
      </c>
      <c r="M129" t="str">
        <f>IF(A129="","",IF('03_EXECUTION_LOG'!F129&lt;&gt;"success","non-success status",IF(INDEX('02_TASK_CATALOG'!J:J,MATCH(C129,'02_TASK_CATALOG'!A:A,0))&lt;&gt;TRUE,"task not approved",IF(H129&lt;=0,"no net time saved",IF(J129&lt;=0,"missing labor rate",IF('03_EXECUTION_LOG'!J129="","missing evidence",""))))))</f>
        <v/>
      </c>
      <c r="N129" t="str">
        <f>IF(A129="","",IF(AND(L129=TRUE,'03_EXECUTION_LOG'!I129=FALSE),"high",IF(AND(L129=TRUE,'03_EXECUTION_LOG'!I129=TRUE),"medium","low")))</f>
        <v/>
      </c>
      <c r="O129" t="str">
        <f>IF(A129="","",IF(AND(L129=TRUE,'03_EXECUTION_LOG'!J129&lt;&gt;""),"yes","needs-review"))</f>
        <v/>
      </c>
    </row>
    <row r="130">
      <c r="A130" t="str">
        <f>IF('03_EXECUTION_LOG'!A130="","",'03_EXECUTION_LOG'!A130)</f>
        <v/>
      </c>
      <c r="B130" t="str">
        <f>IF('03_EXECUTION_LOG'!B130="","",LEFT('03_EXECUTION_LOG'!B130,7))</f>
        <v/>
      </c>
      <c r="C130" t="str">
        <f>IF('03_EXECUTION_LOG'!E130="","",'03_EXECUTION_LOG'!E130)</f>
        <v/>
      </c>
      <c r="D130" t="str">
        <f>IF(C130="","",INDEX('02_TASK_CATALOG'!E:E,MATCH(C130,'02_TASK_CATALOG'!A:A,0)))</f>
        <v/>
      </c>
      <c r="E130">
        <f>IF(C130="","",INDEX('02_TASK_CATALOG'!F:F,MATCH(C130,'02_TASK_CATALOG'!A:A,0)))</f>
        <v>0</v>
      </c>
      <c r="F130">
        <f>IF(C130="","",INDEX('02_TASK_CATALOG'!G:G,MATCH(C130,'02_TASK_CATALOG'!A:A,0)))</f>
        <v>0</v>
      </c>
      <c r="G130">
        <f>IF(C130="","",INDEX('02_TASK_CATALOG'!H:H,MATCH(C130,'02_TASK_CATALOG'!A:A,0)))</f>
        <v>0</v>
      </c>
      <c r="H130">
        <f>IF(A130="","",MAX(0,E130-F130-G130))</f>
        <v>0</v>
      </c>
      <c r="I130">
        <f>IF(A130="","",H130*IF('03_EXECUTION_LOG'!H130="",1,'03_EXECUTION_LOG'!H130)/60)</f>
        <v>0</v>
      </c>
      <c r="J130">
        <f>IF(D130="","",INDEX('01_ASSUMPTIONS'!C:C,MATCH(D130,'01_ASSUMPTIONS'!A:A,0)))</f>
        <v>0</v>
      </c>
      <c r="K130">
        <f>IF(OR(A130="",L130&lt;&gt;TRUE),0,I130*J130)</f>
        <v>0</v>
      </c>
      <c r="L130" t="b">
        <f>IF(A130="","",AND('03_EXECUTION_LOG'!F130="success",INDEX('02_TASK_CATALOG'!J:J,MATCH(C130,'02_TASK_CATALOG'!A:A,0))=TRUE,H130&gt;0,J130&gt;0,'03_EXECUTION_LOG'!J130&lt;&gt;""))</f>
        <v>0</v>
      </c>
      <c r="M130" t="str">
        <f>IF(A130="","",IF('03_EXECUTION_LOG'!F130&lt;&gt;"success","non-success status",IF(INDEX('02_TASK_CATALOG'!J:J,MATCH(C130,'02_TASK_CATALOG'!A:A,0))&lt;&gt;TRUE,"task not approved",IF(H130&lt;=0,"no net time saved",IF(J130&lt;=0,"missing labor rate",IF('03_EXECUTION_LOG'!J130="","missing evidence",""))))))</f>
        <v/>
      </c>
      <c r="N130" t="str">
        <f>IF(A130="","",IF(AND(L130=TRUE,'03_EXECUTION_LOG'!I130=FALSE),"high",IF(AND(L130=TRUE,'03_EXECUTION_LOG'!I130=TRUE),"medium","low")))</f>
        <v/>
      </c>
      <c r="O130" t="str">
        <f>IF(A130="","",IF(AND(L130=TRUE,'03_EXECUTION_LOG'!J130&lt;&gt;""),"yes","needs-review"))</f>
        <v/>
      </c>
    </row>
    <row r="131">
      <c r="A131" t="str">
        <f>IF('03_EXECUTION_LOG'!A131="","",'03_EXECUTION_LOG'!A131)</f>
        <v/>
      </c>
      <c r="B131" t="str">
        <f>IF('03_EXECUTION_LOG'!B131="","",LEFT('03_EXECUTION_LOG'!B131,7))</f>
        <v/>
      </c>
      <c r="C131" t="str">
        <f>IF('03_EXECUTION_LOG'!E131="","",'03_EXECUTION_LOG'!E131)</f>
        <v/>
      </c>
      <c r="D131" t="str">
        <f>IF(C131="","",INDEX('02_TASK_CATALOG'!E:E,MATCH(C131,'02_TASK_CATALOG'!A:A,0)))</f>
        <v/>
      </c>
      <c r="E131">
        <f>IF(C131="","",INDEX('02_TASK_CATALOG'!F:F,MATCH(C131,'02_TASK_CATALOG'!A:A,0)))</f>
        <v>0</v>
      </c>
      <c r="F131">
        <f>IF(C131="","",INDEX('02_TASK_CATALOG'!G:G,MATCH(C131,'02_TASK_CATALOG'!A:A,0)))</f>
        <v>0</v>
      </c>
      <c r="G131">
        <f>IF(C131="","",INDEX('02_TASK_CATALOG'!H:H,MATCH(C131,'02_TASK_CATALOG'!A:A,0)))</f>
        <v>0</v>
      </c>
      <c r="H131">
        <f>IF(A131="","",MAX(0,E131-F131-G131))</f>
        <v>0</v>
      </c>
      <c r="I131">
        <f>IF(A131="","",H131*IF('03_EXECUTION_LOG'!H131="",1,'03_EXECUTION_LOG'!H131)/60)</f>
        <v>0</v>
      </c>
      <c r="J131">
        <f>IF(D131="","",INDEX('01_ASSUMPTIONS'!C:C,MATCH(D131,'01_ASSUMPTIONS'!A:A,0)))</f>
        <v>0</v>
      </c>
      <c r="K131">
        <f>IF(OR(A131="",L131&lt;&gt;TRUE),0,I131*J131)</f>
        <v>0</v>
      </c>
      <c r="L131" t="b">
        <f>IF(A131="","",AND('03_EXECUTION_LOG'!F131="success",INDEX('02_TASK_CATALOG'!J:J,MATCH(C131,'02_TASK_CATALOG'!A:A,0))=TRUE,H131&gt;0,J131&gt;0,'03_EXECUTION_LOG'!J131&lt;&gt;""))</f>
        <v>0</v>
      </c>
      <c r="M131" t="str">
        <f>IF(A131="","",IF('03_EXECUTION_LOG'!F131&lt;&gt;"success","non-success status",IF(INDEX('02_TASK_CATALOG'!J:J,MATCH(C131,'02_TASK_CATALOG'!A:A,0))&lt;&gt;TRUE,"task not approved",IF(H131&lt;=0,"no net time saved",IF(J131&lt;=0,"missing labor rate",IF('03_EXECUTION_LOG'!J131="","missing evidence",""))))))</f>
        <v/>
      </c>
      <c r="N131" t="str">
        <f>IF(A131="","",IF(AND(L131=TRUE,'03_EXECUTION_LOG'!I131=FALSE),"high",IF(AND(L131=TRUE,'03_EXECUTION_LOG'!I131=TRUE),"medium","low")))</f>
        <v/>
      </c>
      <c r="O131" t="str">
        <f>IF(A131="","",IF(AND(L131=TRUE,'03_EXECUTION_LOG'!J131&lt;&gt;""),"yes","needs-review"))</f>
        <v/>
      </c>
    </row>
    <row r="132">
      <c r="A132" t="str">
        <f>IF('03_EXECUTION_LOG'!A132="","",'03_EXECUTION_LOG'!A132)</f>
        <v/>
      </c>
      <c r="B132" t="str">
        <f>IF('03_EXECUTION_LOG'!B132="","",LEFT('03_EXECUTION_LOG'!B132,7))</f>
        <v/>
      </c>
      <c r="C132" t="str">
        <f>IF('03_EXECUTION_LOG'!E132="","",'03_EXECUTION_LOG'!E132)</f>
        <v/>
      </c>
      <c r="D132" t="str">
        <f>IF(C132="","",INDEX('02_TASK_CATALOG'!E:E,MATCH(C132,'02_TASK_CATALOG'!A:A,0)))</f>
        <v/>
      </c>
      <c r="E132">
        <f>IF(C132="","",INDEX('02_TASK_CATALOG'!F:F,MATCH(C132,'02_TASK_CATALOG'!A:A,0)))</f>
        <v>0</v>
      </c>
      <c r="F132">
        <f>IF(C132="","",INDEX('02_TASK_CATALOG'!G:G,MATCH(C132,'02_TASK_CATALOG'!A:A,0)))</f>
        <v>0</v>
      </c>
      <c r="G132">
        <f>IF(C132="","",INDEX('02_TASK_CATALOG'!H:H,MATCH(C132,'02_TASK_CATALOG'!A:A,0)))</f>
        <v>0</v>
      </c>
      <c r="H132">
        <f>IF(A132="","",MAX(0,E132-F132-G132))</f>
        <v>0</v>
      </c>
      <c r="I132">
        <f>IF(A132="","",H132*IF('03_EXECUTION_LOG'!H132="",1,'03_EXECUTION_LOG'!H132)/60)</f>
        <v>0</v>
      </c>
      <c r="J132">
        <f>IF(D132="","",INDEX('01_ASSUMPTIONS'!C:C,MATCH(D132,'01_ASSUMPTIONS'!A:A,0)))</f>
        <v>0</v>
      </c>
      <c r="K132">
        <f>IF(OR(A132="",L132&lt;&gt;TRUE),0,I132*J132)</f>
        <v>0</v>
      </c>
      <c r="L132" t="b">
        <f>IF(A132="","",AND('03_EXECUTION_LOG'!F132="success",INDEX('02_TASK_CATALOG'!J:J,MATCH(C132,'02_TASK_CATALOG'!A:A,0))=TRUE,H132&gt;0,J132&gt;0,'03_EXECUTION_LOG'!J132&lt;&gt;""))</f>
        <v>0</v>
      </c>
      <c r="M132" t="str">
        <f>IF(A132="","",IF('03_EXECUTION_LOG'!F132&lt;&gt;"success","non-success status",IF(INDEX('02_TASK_CATALOG'!J:J,MATCH(C132,'02_TASK_CATALOG'!A:A,0))&lt;&gt;TRUE,"task not approved",IF(H132&lt;=0,"no net time saved",IF(J132&lt;=0,"missing labor rate",IF('03_EXECUTION_LOG'!J132="","missing evidence",""))))))</f>
        <v/>
      </c>
      <c r="N132" t="str">
        <f>IF(A132="","",IF(AND(L132=TRUE,'03_EXECUTION_LOG'!I132=FALSE),"high",IF(AND(L132=TRUE,'03_EXECUTION_LOG'!I132=TRUE),"medium","low")))</f>
        <v/>
      </c>
      <c r="O132" t="str">
        <f>IF(A132="","",IF(AND(L132=TRUE,'03_EXECUTION_LOG'!J132&lt;&gt;""),"yes","needs-review"))</f>
        <v/>
      </c>
    </row>
    <row r="133">
      <c r="A133" t="str">
        <f>IF('03_EXECUTION_LOG'!A133="","",'03_EXECUTION_LOG'!A133)</f>
        <v/>
      </c>
      <c r="B133" t="str">
        <f>IF('03_EXECUTION_LOG'!B133="","",LEFT('03_EXECUTION_LOG'!B133,7))</f>
        <v/>
      </c>
      <c r="C133" t="str">
        <f>IF('03_EXECUTION_LOG'!E133="","",'03_EXECUTION_LOG'!E133)</f>
        <v/>
      </c>
      <c r="D133" t="str">
        <f>IF(C133="","",INDEX('02_TASK_CATALOG'!E:E,MATCH(C133,'02_TASK_CATALOG'!A:A,0)))</f>
        <v/>
      </c>
      <c r="E133">
        <f>IF(C133="","",INDEX('02_TASK_CATALOG'!F:F,MATCH(C133,'02_TASK_CATALOG'!A:A,0)))</f>
        <v>0</v>
      </c>
      <c r="F133">
        <f>IF(C133="","",INDEX('02_TASK_CATALOG'!G:G,MATCH(C133,'02_TASK_CATALOG'!A:A,0)))</f>
        <v>0</v>
      </c>
      <c r="G133">
        <f>IF(C133="","",INDEX('02_TASK_CATALOG'!H:H,MATCH(C133,'02_TASK_CATALOG'!A:A,0)))</f>
        <v>0</v>
      </c>
      <c r="H133">
        <f>IF(A133="","",MAX(0,E133-F133-G133))</f>
        <v>0</v>
      </c>
      <c r="I133">
        <f>IF(A133="","",H133*IF('03_EXECUTION_LOG'!H133="",1,'03_EXECUTION_LOG'!H133)/60)</f>
        <v>0</v>
      </c>
      <c r="J133">
        <f>IF(D133="","",INDEX('01_ASSUMPTIONS'!C:C,MATCH(D133,'01_ASSUMPTIONS'!A:A,0)))</f>
        <v>0</v>
      </c>
      <c r="K133">
        <f>IF(OR(A133="",L133&lt;&gt;TRUE),0,I133*J133)</f>
        <v>0</v>
      </c>
      <c r="L133" t="b">
        <f>IF(A133="","",AND('03_EXECUTION_LOG'!F133="success",INDEX('02_TASK_CATALOG'!J:J,MATCH(C133,'02_TASK_CATALOG'!A:A,0))=TRUE,H133&gt;0,J133&gt;0,'03_EXECUTION_LOG'!J133&lt;&gt;""))</f>
        <v>0</v>
      </c>
      <c r="M133" t="str">
        <f>IF(A133="","",IF('03_EXECUTION_LOG'!F133&lt;&gt;"success","non-success status",IF(INDEX('02_TASK_CATALOG'!J:J,MATCH(C133,'02_TASK_CATALOG'!A:A,0))&lt;&gt;TRUE,"task not approved",IF(H133&lt;=0,"no net time saved",IF(J133&lt;=0,"missing labor rate",IF('03_EXECUTION_LOG'!J133="","missing evidence",""))))))</f>
        <v/>
      </c>
      <c r="N133" t="str">
        <f>IF(A133="","",IF(AND(L133=TRUE,'03_EXECUTION_LOG'!I133=FALSE),"high",IF(AND(L133=TRUE,'03_EXECUTION_LOG'!I133=TRUE),"medium","low")))</f>
        <v/>
      </c>
      <c r="O133" t="str">
        <f>IF(A133="","",IF(AND(L133=TRUE,'03_EXECUTION_LOG'!J133&lt;&gt;""),"yes","needs-review"))</f>
        <v/>
      </c>
    </row>
    <row r="134">
      <c r="A134" t="str">
        <f>IF('03_EXECUTION_LOG'!A134="","",'03_EXECUTION_LOG'!A134)</f>
        <v/>
      </c>
      <c r="B134" t="str">
        <f>IF('03_EXECUTION_LOG'!B134="","",LEFT('03_EXECUTION_LOG'!B134,7))</f>
        <v/>
      </c>
      <c r="C134" t="str">
        <f>IF('03_EXECUTION_LOG'!E134="","",'03_EXECUTION_LOG'!E134)</f>
        <v/>
      </c>
      <c r="D134" t="str">
        <f>IF(C134="","",INDEX('02_TASK_CATALOG'!E:E,MATCH(C134,'02_TASK_CATALOG'!A:A,0)))</f>
        <v/>
      </c>
      <c r="E134">
        <f>IF(C134="","",INDEX('02_TASK_CATALOG'!F:F,MATCH(C134,'02_TASK_CATALOG'!A:A,0)))</f>
        <v>0</v>
      </c>
      <c r="F134">
        <f>IF(C134="","",INDEX('02_TASK_CATALOG'!G:G,MATCH(C134,'02_TASK_CATALOG'!A:A,0)))</f>
        <v>0</v>
      </c>
      <c r="G134">
        <f>IF(C134="","",INDEX('02_TASK_CATALOG'!H:H,MATCH(C134,'02_TASK_CATALOG'!A:A,0)))</f>
        <v>0</v>
      </c>
      <c r="H134">
        <f>IF(A134="","",MAX(0,E134-F134-G134))</f>
        <v>0</v>
      </c>
      <c r="I134">
        <f>IF(A134="","",H134*IF('03_EXECUTION_LOG'!H134="",1,'03_EXECUTION_LOG'!H134)/60)</f>
        <v>0</v>
      </c>
      <c r="J134">
        <f>IF(D134="","",INDEX('01_ASSUMPTIONS'!C:C,MATCH(D134,'01_ASSUMPTIONS'!A:A,0)))</f>
        <v>0</v>
      </c>
      <c r="K134">
        <f>IF(OR(A134="",L134&lt;&gt;TRUE),0,I134*J134)</f>
        <v>0</v>
      </c>
      <c r="L134" t="b">
        <f>IF(A134="","",AND('03_EXECUTION_LOG'!F134="success",INDEX('02_TASK_CATALOG'!J:J,MATCH(C134,'02_TASK_CATALOG'!A:A,0))=TRUE,H134&gt;0,J134&gt;0,'03_EXECUTION_LOG'!J134&lt;&gt;""))</f>
        <v>0</v>
      </c>
      <c r="M134" t="str">
        <f>IF(A134="","",IF('03_EXECUTION_LOG'!F134&lt;&gt;"success","non-success status",IF(INDEX('02_TASK_CATALOG'!J:J,MATCH(C134,'02_TASK_CATALOG'!A:A,0))&lt;&gt;TRUE,"task not approved",IF(H134&lt;=0,"no net time saved",IF(J134&lt;=0,"missing labor rate",IF('03_EXECUTION_LOG'!J134="","missing evidence",""))))))</f>
        <v/>
      </c>
      <c r="N134" t="str">
        <f>IF(A134="","",IF(AND(L134=TRUE,'03_EXECUTION_LOG'!I134=FALSE),"high",IF(AND(L134=TRUE,'03_EXECUTION_LOG'!I134=TRUE),"medium","low")))</f>
        <v/>
      </c>
      <c r="O134" t="str">
        <f>IF(A134="","",IF(AND(L134=TRUE,'03_EXECUTION_LOG'!J134&lt;&gt;""),"yes","needs-review"))</f>
        <v/>
      </c>
    </row>
    <row r="135">
      <c r="A135" t="str">
        <f>IF('03_EXECUTION_LOG'!A135="","",'03_EXECUTION_LOG'!A135)</f>
        <v/>
      </c>
      <c r="B135" t="str">
        <f>IF('03_EXECUTION_LOG'!B135="","",LEFT('03_EXECUTION_LOG'!B135,7))</f>
        <v/>
      </c>
      <c r="C135" t="str">
        <f>IF('03_EXECUTION_LOG'!E135="","",'03_EXECUTION_LOG'!E135)</f>
        <v/>
      </c>
      <c r="D135" t="str">
        <f>IF(C135="","",INDEX('02_TASK_CATALOG'!E:E,MATCH(C135,'02_TASK_CATALOG'!A:A,0)))</f>
        <v/>
      </c>
      <c r="E135">
        <f>IF(C135="","",INDEX('02_TASK_CATALOG'!F:F,MATCH(C135,'02_TASK_CATALOG'!A:A,0)))</f>
        <v>0</v>
      </c>
      <c r="F135">
        <f>IF(C135="","",INDEX('02_TASK_CATALOG'!G:G,MATCH(C135,'02_TASK_CATALOG'!A:A,0)))</f>
        <v>0</v>
      </c>
      <c r="G135">
        <f>IF(C135="","",INDEX('02_TASK_CATALOG'!H:H,MATCH(C135,'02_TASK_CATALOG'!A:A,0)))</f>
        <v>0</v>
      </c>
      <c r="H135">
        <f>IF(A135="","",MAX(0,E135-F135-G135))</f>
        <v>0</v>
      </c>
      <c r="I135">
        <f>IF(A135="","",H135*IF('03_EXECUTION_LOG'!H135="",1,'03_EXECUTION_LOG'!H135)/60)</f>
        <v>0</v>
      </c>
      <c r="J135">
        <f>IF(D135="","",INDEX('01_ASSUMPTIONS'!C:C,MATCH(D135,'01_ASSUMPTIONS'!A:A,0)))</f>
        <v>0</v>
      </c>
      <c r="K135">
        <f>IF(OR(A135="",L135&lt;&gt;TRUE),0,I135*J135)</f>
        <v>0</v>
      </c>
      <c r="L135" t="b">
        <f>IF(A135="","",AND('03_EXECUTION_LOG'!F135="success",INDEX('02_TASK_CATALOG'!J:J,MATCH(C135,'02_TASK_CATALOG'!A:A,0))=TRUE,H135&gt;0,J135&gt;0,'03_EXECUTION_LOG'!J135&lt;&gt;""))</f>
        <v>0</v>
      </c>
      <c r="M135" t="str">
        <f>IF(A135="","",IF('03_EXECUTION_LOG'!F135&lt;&gt;"success","non-success status",IF(INDEX('02_TASK_CATALOG'!J:J,MATCH(C135,'02_TASK_CATALOG'!A:A,0))&lt;&gt;TRUE,"task not approved",IF(H135&lt;=0,"no net time saved",IF(J135&lt;=0,"missing labor rate",IF('03_EXECUTION_LOG'!J135="","missing evidence",""))))))</f>
        <v/>
      </c>
      <c r="N135" t="str">
        <f>IF(A135="","",IF(AND(L135=TRUE,'03_EXECUTION_LOG'!I135=FALSE),"high",IF(AND(L135=TRUE,'03_EXECUTION_LOG'!I135=TRUE),"medium","low")))</f>
        <v/>
      </c>
      <c r="O135" t="str">
        <f>IF(A135="","",IF(AND(L135=TRUE,'03_EXECUTION_LOG'!J135&lt;&gt;""),"yes","needs-review"))</f>
        <v/>
      </c>
    </row>
    <row r="136">
      <c r="A136" t="str">
        <f>IF('03_EXECUTION_LOG'!A136="","",'03_EXECUTION_LOG'!A136)</f>
        <v/>
      </c>
      <c r="B136" t="str">
        <f>IF('03_EXECUTION_LOG'!B136="","",LEFT('03_EXECUTION_LOG'!B136,7))</f>
        <v/>
      </c>
      <c r="C136" t="str">
        <f>IF('03_EXECUTION_LOG'!E136="","",'03_EXECUTION_LOG'!E136)</f>
        <v/>
      </c>
      <c r="D136" t="str">
        <f>IF(C136="","",INDEX('02_TASK_CATALOG'!E:E,MATCH(C136,'02_TASK_CATALOG'!A:A,0)))</f>
        <v/>
      </c>
      <c r="E136">
        <f>IF(C136="","",INDEX('02_TASK_CATALOG'!F:F,MATCH(C136,'02_TASK_CATALOG'!A:A,0)))</f>
        <v>0</v>
      </c>
      <c r="F136">
        <f>IF(C136="","",INDEX('02_TASK_CATALOG'!G:G,MATCH(C136,'02_TASK_CATALOG'!A:A,0)))</f>
        <v>0</v>
      </c>
      <c r="G136">
        <f>IF(C136="","",INDEX('02_TASK_CATALOG'!H:H,MATCH(C136,'02_TASK_CATALOG'!A:A,0)))</f>
        <v>0</v>
      </c>
      <c r="H136">
        <f>IF(A136="","",MAX(0,E136-F136-G136))</f>
        <v>0</v>
      </c>
      <c r="I136">
        <f>IF(A136="","",H136*IF('03_EXECUTION_LOG'!H136="",1,'03_EXECUTION_LOG'!H136)/60)</f>
        <v>0</v>
      </c>
      <c r="J136">
        <f>IF(D136="","",INDEX('01_ASSUMPTIONS'!C:C,MATCH(D136,'01_ASSUMPTIONS'!A:A,0)))</f>
        <v>0</v>
      </c>
      <c r="K136">
        <f>IF(OR(A136="",L136&lt;&gt;TRUE),0,I136*J136)</f>
        <v>0</v>
      </c>
      <c r="L136" t="b">
        <f>IF(A136="","",AND('03_EXECUTION_LOG'!F136="success",INDEX('02_TASK_CATALOG'!J:J,MATCH(C136,'02_TASK_CATALOG'!A:A,0))=TRUE,H136&gt;0,J136&gt;0,'03_EXECUTION_LOG'!J136&lt;&gt;""))</f>
        <v>0</v>
      </c>
      <c r="M136" t="str">
        <f>IF(A136="","",IF('03_EXECUTION_LOG'!F136&lt;&gt;"success","non-success status",IF(INDEX('02_TASK_CATALOG'!J:J,MATCH(C136,'02_TASK_CATALOG'!A:A,0))&lt;&gt;TRUE,"task not approved",IF(H136&lt;=0,"no net time saved",IF(J136&lt;=0,"missing labor rate",IF('03_EXECUTION_LOG'!J136="","missing evidence",""))))))</f>
        <v/>
      </c>
      <c r="N136" t="str">
        <f>IF(A136="","",IF(AND(L136=TRUE,'03_EXECUTION_LOG'!I136=FALSE),"high",IF(AND(L136=TRUE,'03_EXECUTION_LOG'!I136=TRUE),"medium","low")))</f>
        <v/>
      </c>
      <c r="O136" t="str">
        <f>IF(A136="","",IF(AND(L136=TRUE,'03_EXECUTION_LOG'!J136&lt;&gt;""),"yes","needs-review"))</f>
        <v/>
      </c>
    </row>
    <row r="137">
      <c r="A137" t="str">
        <f>IF('03_EXECUTION_LOG'!A137="","",'03_EXECUTION_LOG'!A137)</f>
        <v/>
      </c>
      <c r="B137" t="str">
        <f>IF('03_EXECUTION_LOG'!B137="","",LEFT('03_EXECUTION_LOG'!B137,7))</f>
        <v/>
      </c>
      <c r="C137" t="str">
        <f>IF('03_EXECUTION_LOG'!E137="","",'03_EXECUTION_LOG'!E137)</f>
        <v/>
      </c>
      <c r="D137" t="str">
        <f>IF(C137="","",INDEX('02_TASK_CATALOG'!E:E,MATCH(C137,'02_TASK_CATALOG'!A:A,0)))</f>
        <v/>
      </c>
      <c r="E137">
        <f>IF(C137="","",INDEX('02_TASK_CATALOG'!F:F,MATCH(C137,'02_TASK_CATALOG'!A:A,0)))</f>
        <v>0</v>
      </c>
      <c r="F137">
        <f>IF(C137="","",INDEX('02_TASK_CATALOG'!G:G,MATCH(C137,'02_TASK_CATALOG'!A:A,0)))</f>
        <v>0</v>
      </c>
      <c r="G137">
        <f>IF(C137="","",INDEX('02_TASK_CATALOG'!H:H,MATCH(C137,'02_TASK_CATALOG'!A:A,0)))</f>
        <v>0</v>
      </c>
      <c r="H137">
        <f>IF(A137="","",MAX(0,E137-F137-G137))</f>
        <v>0</v>
      </c>
      <c r="I137">
        <f>IF(A137="","",H137*IF('03_EXECUTION_LOG'!H137="",1,'03_EXECUTION_LOG'!H137)/60)</f>
        <v>0</v>
      </c>
      <c r="J137">
        <f>IF(D137="","",INDEX('01_ASSUMPTIONS'!C:C,MATCH(D137,'01_ASSUMPTIONS'!A:A,0)))</f>
        <v>0</v>
      </c>
      <c r="K137">
        <f>IF(OR(A137="",L137&lt;&gt;TRUE),0,I137*J137)</f>
        <v>0</v>
      </c>
      <c r="L137" t="b">
        <f>IF(A137="","",AND('03_EXECUTION_LOG'!F137="success",INDEX('02_TASK_CATALOG'!J:J,MATCH(C137,'02_TASK_CATALOG'!A:A,0))=TRUE,H137&gt;0,J137&gt;0,'03_EXECUTION_LOG'!J137&lt;&gt;""))</f>
        <v>0</v>
      </c>
      <c r="M137" t="str">
        <f>IF(A137="","",IF('03_EXECUTION_LOG'!F137&lt;&gt;"success","non-success status",IF(INDEX('02_TASK_CATALOG'!J:J,MATCH(C137,'02_TASK_CATALOG'!A:A,0))&lt;&gt;TRUE,"task not approved",IF(H137&lt;=0,"no net time saved",IF(J137&lt;=0,"missing labor rate",IF('03_EXECUTION_LOG'!J137="","missing evidence",""))))))</f>
        <v/>
      </c>
      <c r="N137" t="str">
        <f>IF(A137="","",IF(AND(L137=TRUE,'03_EXECUTION_LOG'!I137=FALSE),"high",IF(AND(L137=TRUE,'03_EXECUTION_LOG'!I137=TRUE),"medium","low")))</f>
        <v/>
      </c>
      <c r="O137" t="str">
        <f>IF(A137="","",IF(AND(L137=TRUE,'03_EXECUTION_LOG'!J137&lt;&gt;""),"yes","needs-review"))</f>
        <v/>
      </c>
    </row>
    <row r="138">
      <c r="A138" t="str">
        <f>IF('03_EXECUTION_LOG'!A138="","",'03_EXECUTION_LOG'!A138)</f>
        <v/>
      </c>
      <c r="B138" t="str">
        <f>IF('03_EXECUTION_LOG'!B138="","",LEFT('03_EXECUTION_LOG'!B138,7))</f>
        <v/>
      </c>
      <c r="C138" t="str">
        <f>IF('03_EXECUTION_LOG'!E138="","",'03_EXECUTION_LOG'!E138)</f>
        <v/>
      </c>
      <c r="D138" t="str">
        <f>IF(C138="","",INDEX('02_TASK_CATALOG'!E:E,MATCH(C138,'02_TASK_CATALOG'!A:A,0)))</f>
        <v/>
      </c>
      <c r="E138">
        <f>IF(C138="","",INDEX('02_TASK_CATALOG'!F:F,MATCH(C138,'02_TASK_CATALOG'!A:A,0)))</f>
        <v>0</v>
      </c>
      <c r="F138">
        <f>IF(C138="","",INDEX('02_TASK_CATALOG'!G:G,MATCH(C138,'02_TASK_CATALOG'!A:A,0)))</f>
        <v>0</v>
      </c>
      <c r="G138">
        <f>IF(C138="","",INDEX('02_TASK_CATALOG'!H:H,MATCH(C138,'02_TASK_CATALOG'!A:A,0)))</f>
        <v>0</v>
      </c>
      <c r="H138">
        <f>IF(A138="","",MAX(0,E138-F138-G138))</f>
        <v>0</v>
      </c>
      <c r="I138">
        <f>IF(A138="","",H138*IF('03_EXECUTION_LOG'!H138="",1,'03_EXECUTION_LOG'!H138)/60)</f>
        <v>0</v>
      </c>
      <c r="J138">
        <f>IF(D138="","",INDEX('01_ASSUMPTIONS'!C:C,MATCH(D138,'01_ASSUMPTIONS'!A:A,0)))</f>
        <v>0</v>
      </c>
      <c r="K138">
        <f>IF(OR(A138="",L138&lt;&gt;TRUE),0,I138*J138)</f>
        <v>0</v>
      </c>
      <c r="L138" t="b">
        <f>IF(A138="","",AND('03_EXECUTION_LOG'!F138="success",INDEX('02_TASK_CATALOG'!J:J,MATCH(C138,'02_TASK_CATALOG'!A:A,0))=TRUE,H138&gt;0,J138&gt;0,'03_EXECUTION_LOG'!J138&lt;&gt;""))</f>
        <v>0</v>
      </c>
      <c r="M138" t="str">
        <f>IF(A138="","",IF('03_EXECUTION_LOG'!F138&lt;&gt;"success","non-success status",IF(INDEX('02_TASK_CATALOG'!J:J,MATCH(C138,'02_TASK_CATALOG'!A:A,0))&lt;&gt;TRUE,"task not approved",IF(H138&lt;=0,"no net time saved",IF(J138&lt;=0,"missing labor rate",IF('03_EXECUTION_LOG'!J138="","missing evidence",""))))))</f>
        <v/>
      </c>
      <c r="N138" t="str">
        <f>IF(A138="","",IF(AND(L138=TRUE,'03_EXECUTION_LOG'!I138=FALSE),"high",IF(AND(L138=TRUE,'03_EXECUTION_LOG'!I138=TRUE),"medium","low")))</f>
        <v/>
      </c>
      <c r="O138" t="str">
        <f>IF(A138="","",IF(AND(L138=TRUE,'03_EXECUTION_LOG'!J138&lt;&gt;""),"yes","needs-review"))</f>
        <v/>
      </c>
    </row>
    <row r="139">
      <c r="A139" t="str">
        <f>IF('03_EXECUTION_LOG'!A139="","",'03_EXECUTION_LOG'!A139)</f>
        <v/>
      </c>
      <c r="B139" t="str">
        <f>IF('03_EXECUTION_LOG'!B139="","",LEFT('03_EXECUTION_LOG'!B139,7))</f>
        <v/>
      </c>
      <c r="C139" t="str">
        <f>IF('03_EXECUTION_LOG'!E139="","",'03_EXECUTION_LOG'!E139)</f>
        <v/>
      </c>
      <c r="D139" t="str">
        <f>IF(C139="","",INDEX('02_TASK_CATALOG'!E:E,MATCH(C139,'02_TASK_CATALOG'!A:A,0)))</f>
        <v/>
      </c>
      <c r="E139">
        <f>IF(C139="","",INDEX('02_TASK_CATALOG'!F:F,MATCH(C139,'02_TASK_CATALOG'!A:A,0)))</f>
        <v>0</v>
      </c>
      <c r="F139">
        <f>IF(C139="","",INDEX('02_TASK_CATALOG'!G:G,MATCH(C139,'02_TASK_CATALOG'!A:A,0)))</f>
        <v>0</v>
      </c>
      <c r="G139">
        <f>IF(C139="","",INDEX('02_TASK_CATALOG'!H:H,MATCH(C139,'02_TASK_CATALOG'!A:A,0)))</f>
        <v>0</v>
      </c>
      <c r="H139">
        <f>IF(A139="","",MAX(0,E139-F139-G139))</f>
        <v>0</v>
      </c>
      <c r="I139">
        <f>IF(A139="","",H139*IF('03_EXECUTION_LOG'!H139="",1,'03_EXECUTION_LOG'!H139)/60)</f>
        <v>0</v>
      </c>
      <c r="J139">
        <f>IF(D139="","",INDEX('01_ASSUMPTIONS'!C:C,MATCH(D139,'01_ASSUMPTIONS'!A:A,0)))</f>
        <v>0</v>
      </c>
      <c r="K139">
        <f>IF(OR(A139="",L139&lt;&gt;TRUE),0,I139*J139)</f>
        <v>0</v>
      </c>
      <c r="L139" t="b">
        <f>IF(A139="","",AND('03_EXECUTION_LOG'!F139="success",INDEX('02_TASK_CATALOG'!J:J,MATCH(C139,'02_TASK_CATALOG'!A:A,0))=TRUE,H139&gt;0,J139&gt;0,'03_EXECUTION_LOG'!J139&lt;&gt;""))</f>
        <v>0</v>
      </c>
      <c r="M139" t="str">
        <f>IF(A139="","",IF('03_EXECUTION_LOG'!F139&lt;&gt;"success","non-success status",IF(INDEX('02_TASK_CATALOG'!J:J,MATCH(C139,'02_TASK_CATALOG'!A:A,0))&lt;&gt;TRUE,"task not approved",IF(H139&lt;=0,"no net time saved",IF(J139&lt;=0,"missing labor rate",IF('03_EXECUTION_LOG'!J139="","missing evidence",""))))))</f>
        <v/>
      </c>
      <c r="N139" t="str">
        <f>IF(A139="","",IF(AND(L139=TRUE,'03_EXECUTION_LOG'!I139=FALSE),"high",IF(AND(L139=TRUE,'03_EXECUTION_LOG'!I139=TRUE),"medium","low")))</f>
        <v/>
      </c>
      <c r="O139" t="str">
        <f>IF(A139="","",IF(AND(L139=TRUE,'03_EXECUTION_LOG'!J139&lt;&gt;""),"yes","needs-review"))</f>
        <v/>
      </c>
    </row>
    <row r="140">
      <c r="A140" t="str">
        <f>IF('03_EXECUTION_LOG'!A140="","",'03_EXECUTION_LOG'!A140)</f>
        <v/>
      </c>
      <c r="B140" t="str">
        <f>IF('03_EXECUTION_LOG'!B140="","",LEFT('03_EXECUTION_LOG'!B140,7))</f>
        <v/>
      </c>
      <c r="C140" t="str">
        <f>IF('03_EXECUTION_LOG'!E140="","",'03_EXECUTION_LOG'!E140)</f>
        <v/>
      </c>
      <c r="D140" t="str">
        <f>IF(C140="","",INDEX('02_TASK_CATALOG'!E:E,MATCH(C140,'02_TASK_CATALOG'!A:A,0)))</f>
        <v/>
      </c>
      <c r="E140">
        <f>IF(C140="","",INDEX('02_TASK_CATALOG'!F:F,MATCH(C140,'02_TASK_CATALOG'!A:A,0)))</f>
        <v>0</v>
      </c>
      <c r="F140">
        <f>IF(C140="","",INDEX('02_TASK_CATALOG'!G:G,MATCH(C140,'02_TASK_CATALOG'!A:A,0)))</f>
        <v>0</v>
      </c>
      <c r="G140">
        <f>IF(C140="","",INDEX('02_TASK_CATALOG'!H:H,MATCH(C140,'02_TASK_CATALOG'!A:A,0)))</f>
        <v>0</v>
      </c>
      <c r="H140">
        <f>IF(A140="","",MAX(0,E140-F140-G140))</f>
        <v>0</v>
      </c>
      <c r="I140">
        <f>IF(A140="","",H140*IF('03_EXECUTION_LOG'!H140="",1,'03_EXECUTION_LOG'!H140)/60)</f>
        <v>0</v>
      </c>
      <c r="J140">
        <f>IF(D140="","",INDEX('01_ASSUMPTIONS'!C:C,MATCH(D140,'01_ASSUMPTIONS'!A:A,0)))</f>
        <v>0</v>
      </c>
      <c r="K140">
        <f>IF(OR(A140="",L140&lt;&gt;TRUE),0,I140*J140)</f>
        <v>0</v>
      </c>
      <c r="L140" t="b">
        <f>IF(A140="","",AND('03_EXECUTION_LOG'!F140="success",INDEX('02_TASK_CATALOG'!J:J,MATCH(C140,'02_TASK_CATALOG'!A:A,0))=TRUE,H140&gt;0,J140&gt;0,'03_EXECUTION_LOG'!J140&lt;&gt;""))</f>
        <v>0</v>
      </c>
      <c r="M140" t="str">
        <f>IF(A140="","",IF('03_EXECUTION_LOG'!F140&lt;&gt;"success","non-success status",IF(INDEX('02_TASK_CATALOG'!J:J,MATCH(C140,'02_TASK_CATALOG'!A:A,0))&lt;&gt;TRUE,"task not approved",IF(H140&lt;=0,"no net time saved",IF(J140&lt;=0,"missing labor rate",IF('03_EXECUTION_LOG'!J140="","missing evidence",""))))))</f>
        <v/>
      </c>
      <c r="N140" t="str">
        <f>IF(A140="","",IF(AND(L140=TRUE,'03_EXECUTION_LOG'!I140=FALSE),"high",IF(AND(L140=TRUE,'03_EXECUTION_LOG'!I140=TRUE),"medium","low")))</f>
        <v/>
      </c>
      <c r="O140" t="str">
        <f>IF(A140="","",IF(AND(L140=TRUE,'03_EXECUTION_LOG'!J140&lt;&gt;""),"yes","needs-review"))</f>
        <v/>
      </c>
    </row>
    <row r="141">
      <c r="A141" t="str">
        <f>IF('03_EXECUTION_LOG'!A141="","",'03_EXECUTION_LOG'!A141)</f>
        <v/>
      </c>
      <c r="B141" t="str">
        <f>IF('03_EXECUTION_LOG'!B141="","",LEFT('03_EXECUTION_LOG'!B141,7))</f>
        <v/>
      </c>
      <c r="C141" t="str">
        <f>IF('03_EXECUTION_LOG'!E141="","",'03_EXECUTION_LOG'!E141)</f>
        <v/>
      </c>
      <c r="D141" t="str">
        <f>IF(C141="","",INDEX('02_TASK_CATALOG'!E:E,MATCH(C141,'02_TASK_CATALOG'!A:A,0)))</f>
        <v/>
      </c>
      <c r="E141">
        <f>IF(C141="","",INDEX('02_TASK_CATALOG'!F:F,MATCH(C141,'02_TASK_CATALOG'!A:A,0)))</f>
        <v>0</v>
      </c>
      <c r="F141">
        <f>IF(C141="","",INDEX('02_TASK_CATALOG'!G:G,MATCH(C141,'02_TASK_CATALOG'!A:A,0)))</f>
        <v>0</v>
      </c>
      <c r="G141">
        <f>IF(C141="","",INDEX('02_TASK_CATALOG'!H:H,MATCH(C141,'02_TASK_CATALOG'!A:A,0)))</f>
        <v>0</v>
      </c>
      <c r="H141">
        <f>IF(A141="","",MAX(0,E141-F141-G141))</f>
        <v>0</v>
      </c>
      <c r="I141">
        <f>IF(A141="","",H141*IF('03_EXECUTION_LOG'!H141="",1,'03_EXECUTION_LOG'!H141)/60)</f>
        <v>0</v>
      </c>
      <c r="J141">
        <f>IF(D141="","",INDEX('01_ASSUMPTIONS'!C:C,MATCH(D141,'01_ASSUMPTIONS'!A:A,0)))</f>
        <v>0</v>
      </c>
      <c r="K141">
        <f>IF(OR(A141="",L141&lt;&gt;TRUE),0,I141*J141)</f>
        <v>0</v>
      </c>
      <c r="L141" t="b">
        <f>IF(A141="","",AND('03_EXECUTION_LOG'!F141="success",INDEX('02_TASK_CATALOG'!J:J,MATCH(C141,'02_TASK_CATALOG'!A:A,0))=TRUE,H141&gt;0,J141&gt;0,'03_EXECUTION_LOG'!J141&lt;&gt;""))</f>
        <v>0</v>
      </c>
      <c r="M141" t="str">
        <f>IF(A141="","",IF('03_EXECUTION_LOG'!F141&lt;&gt;"success","non-success status",IF(INDEX('02_TASK_CATALOG'!J:J,MATCH(C141,'02_TASK_CATALOG'!A:A,0))&lt;&gt;TRUE,"task not approved",IF(H141&lt;=0,"no net time saved",IF(J141&lt;=0,"missing labor rate",IF('03_EXECUTION_LOG'!J141="","missing evidence",""))))))</f>
        <v/>
      </c>
      <c r="N141" t="str">
        <f>IF(A141="","",IF(AND(L141=TRUE,'03_EXECUTION_LOG'!I141=FALSE),"high",IF(AND(L141=TRUE,'03_EXECUTION_LOG'!I141=TRUE),"medium","low")))</f>
        <v/>
      </c>
      <c r="O141" t="str">
        <f>IF(A141="","",IF(AND(L141=TRUE,'03_EXECUTION_LOG'!J141&lt;&gt;""),"yes","needs-review"))</f>
        <v/>
      </c>
    </row>
    <row r="142">
      <c r="A142" t="str">
        <f>IF('03_EXECUTION_LOG'!A142="","",'03_EXECUTION_LOG'!A142)</f>
        <v/>
      </c>
      <c r="B142" t="str">
        <f>IF('03_EXECUTION_LOG'!B142="","",LEFT('03_EXECUTION_LOG'!B142,7))</f>
        <v/>
      </c>
      <c r="C142" t="str">
        <f>IF('03_EXECUTION_LOG'!E142="","",'03_EXECUTION_LOG'!E142)</f>
        <v/>
      </c>
      <c r="D142" t="str">
        <f>IF(C142="","",INDEX('02_TASK_CATALOG'!E:E,MATCH(C142,'02_TASK_CATALOG'!A:A,0)))</f>
        <v/>
      </c>
      <c r="E142">
        <f>IF(C142="","",INDEX('02_TASK_CATALOG'!F:F,MATCH(C142,'02_TASK_CATALOG'!A:A,0)))</f>
        <v>0</v>
      </c>
      <c r="F142">
        <f>IF(C142="","",INDEX('02_TASK_CATALOG'!G:G,MATCH(C142,'02_TASK_CATALOG'!A:A,0)))</f>
        <v>0</v>
      </c>
      <c r="G142">
        <f>IF(C142="","",INDEX('02_TASK_CATALOG'!H:H,MATCH(C142,'02_TASK_CATALOG'!A:A,0)))</f>
        <v>0</v>
      </c>
      <c r="H142">
        <f>IF(A142="","",MAX(0,E142-F142-G142))</f>
        <v>0</v>
      </c>
      <c r="I142">
        <f>IF(A142="","",H142*IF('03_EXECUTION_LOG'!H142="",1,'03_EXECUTION_LOG'!H142)/60)</f>
        <v>0</v>
      </c>
      <c r="J142">
        <f>IF(D142="","",INDEX('01_ASSUMPTIONS'!C:C,MATCH(D142,'01_ASSUMPTIONS'!A:A,0)))</f>
        <v>0</v>
      </c>
      <c r="K142">
        <f>IF(OR(A142="",L142&lt;&gt;TRUE),0,I142*J142)</f>
        <v>0</v>
      </c>
      <c r="L142" t="b">
        <f>IF(A142="","",AND('03_EXECUTION_LOG'!F142="success",INDEX('02_TASK_CATALOG'!J:J,MATCH(C142,'02_TASK_CATALOG'!A:A,0))=TRUE,H142&gt;0,J142&gt;0,'03_EXECUTION_LOG'!J142&lt;&gt;""))</f>
        <v>0</v>
      </c>
      <c r="M142" t="str">
        <f>IF(A142="","",IF('03_EXECUTION_LOG'!F142&lt;&gt;"success","non-success status",IF(INDEX('02_TASK_CATALOG'!J:J,MATCH(C142,'02_TASK_CATALOG'!A:A,0))&lt;&gt;TRUE,"task not approved",IF(H142&lt;=0,"no net time saved",IF(J142&lt;=0,"missing labor rate",IF('03_EXECUTION_LOG'!J142="","missing evidence",""))))))</f>
        <v/>
      </c>
      <c r="N142" t="str">
        <f>IF(A142="","",IF(AND(L142=TRUE,'03_EXECUTION_LOG'!I142=FALSE),"high",IF(AND(L142=TRUE,'03_EXECUTION_LOG'!I142=TRUE),"medium","low")))</f>
        <v/>
      </c>
      <c r="O142" t="str">
        <f>IF(A142="","",IF(AND(L142=TRUE,'03_EXECUTION_LOG'!J142&lt;&gt;""),"yes","needs-review"))</f>
        <v/>
      </c>
    </row>
    <row r="143">
      <c r="A143" t="str">
        <f>IF('03_EXECUTION_LOG'!A143="","",'03_EXECUTION_LOG'!A143)</f>
        <v/>
      </c>
      <c r="B143" t="str">
        <f>IF('03_EXECUTION_LOG'!B143="","",LEFT('03_EXECUTION_LOG'!B143,7))</f>
        <v/>
      </c>
      <c r="C143" t="str">
        <f>IF('03_EXECUTION_LOG'!E143="","",'03_EXECUTION_LOG'!E143)</f>
        <v/>
      </c>
      <c r="D143" t="str">
        <f>IF(C143="","",INDEX('02_TASK_CATALOG'!E:E,MATCH(C143,'02_TASK_CATALOG'!A:A,0)))</f>
        <v/>
      </c>
      <c r="E143">
        <f>IF(C143="","",INDEX('02_TASK_CATALOG'!F:F,MATCH(C143,'02_TASK_CATALOG'!A:A,0)))</f>
        <v>0</v>
      </c>
      <c r="F143">
        <f>IF(C143="","",INDEX('02_TASK_CATALOG'!G:G,MATCH(C143,'02_TASK_CATALOG'!A:A,0)))</f>
        <v>0</v>
      </c>
      <c r="G143">
        <f>IF(C143="","",INDEX('02_TASK_CATALOG'!H:H,MATCH(C143,'02_TASK_CATALOG'!A:A,0)))</f>
        <v>0</v>
      </c>
      <c r="H143">
        <f>IF(A143="","",MAX(0,E143-F143-G143))</f>
        <v>0</v>
      </c>
      <c r="I143">
        <f>IF(A143="","",H143*IF('03_EXECUTION_LOG'!H143="",1,'03_EXECUTION_LOG'!H143)/60)</f>
        <v>0</v>
      </c>
      <c r="J143">
        <f>IF(D143="","",INDEX('01_ASSUMPTIONS'!C:C,MATCH(D143,'01_ASSUMPTIONS'!A:A,0)))</f>
        <v>0</v>
      </c>
      <c r="K143">
        <f>IF(OR(A143="",L143&lt;&gt;TRUE),0,I143*J143)</f>
        <v>0</v>
      </c>
      <c r="L143" t="b">
        <f>IF(A143="","",AND('03_EXECUTION_LOG'!F143="success",INDEX('02_TASK_CATALOG'!J:J,MATCH(C143,'02_TASK_CATALOG'!A:A,0))=TRUE,H143&gt;0,J143&gt;0,'03_EXECUTION_LOG'!J143&lt;&gt;""))</f>
        <v>0</v>
      </c>
      <c r="M143" t="str">
        <f>IF(A143="","",IF('03_EXECUTION_LOG'!F143&lt;&gt;"success","non-success status",IF(INDEX('02_TASK_CATALOG'!J:J,MATCH(C143,'02_TASK_CATALOG'!A:A,0))&lt;&gt;TRUE,"task not approved",IF(H143&lt;=0,"no net time saved",IF(J143&lt;=0,"missing labor rate",IF('03_EXECUTION_LOG'!J143="","missing evidence",""))))))</f>
        <v/>
      </c>
      <c r="N143" t="str">
        <f>IF(A143="","",IF(AND(L143=TRUE,'03_EXECUTION_LOG'!I143=FALSE),"high",IF(AND(L143=TRUE,'03_EXECUTION_LOG'!I143=TRUE),"medium","low")))</f>
        <v/>
      </c>
      <c r="O143" t="str">
        <f>IF(A143="","",IF(AND(L143=TRUE,'03_EXECUTION_LOG'!J143&lt;&gt;""),"yes","needs-review"))</f>
        <v/>
      </c>
    </row>
    <row r="144">
      <c r="A144" t="str">
        <f>IF('03_EXECUTION_LOG'!A144="","",'03_EXECUTION_LOG'!A144)</f>
        <v/>
      </c>
      <c r="B144" t="str">
        <f>IF('03_EXECUTION_LOG'!B144="","",LEFT('03_EXECUTION_LOG'!B144,7))</f>
        <v/>
      </c>
      <c r="C144" t="str">
        <f>IF('03_EXECUTION_LOG'!E144="","",'03_EXECUTION_LOG'!E144)</f>
        <v/>
      </c>
      <c r="D144" t="str">
        <f>IF(C144="","",INDEX('02_TASK_CATALOG'!E:E,MATCH(C144,'02_TASK_CATALOG'!A:A,0)))</f>
        <v/>
      </c>
      <c r="E144">
        <f>IF(C144="","",INDEX('02_TASK_CATALOG'!F:F,MATCH(C144,'02_TASK_CATALOG'!A:A,0)))</f>
        <v>0</v>
      </c>
      <c r="F144">
        <f>IF(C144="","",INDEX('02_TASK_CATALOG'!G:G,MATCH(C144,'02_TASK_CATALOG'!A:A,0)))</f>
        <v>0</v>
      </c>
      <c r="G144">
        <f>IF(C144="","",INDEX('02_TASK_CATALOG'!H:H,MATCH(C144,'02_TASK_CATALOG'!A:A,0)))</f>
        <v>0</v>
      </c>
      <c r="H144">
        <f>IF(A144="","",MAX(0,E144-F144-G144))</f>
        <v>0</v>
      </c>
      <c r="I144">
        <f>IF(A144="","",H144*IF('03_EXECUTION_LOG'!H144="",1,'03_EXECUTION_LOG'!H144)/60)</f>
        <v>0</v>
      </c>
      <c r="J144">
        <f>IF(D144="","",INDEX('01_ASSUMPTIONS'!C:C,MATCH(D144,'01_ASSUMPTIONS'!A:A,0)))</f>
        <v>0</v>
      </c>
      <c r="K144">
        <f>IF(OR(A144="",L144&lt;&gt;TRUE),0,I144*J144)</f>
        <v>0</v>
      </c>
      <c r="L144" t="b">
        <f>IF(A144="","",AND('03_EXECUTION_LOG'!F144="success",INDEX('02_TASK_CATALOG'!J:J,MATCH(C144,'02_TASK_CATALOG'!A:A,0))=TRUE,H144&gt;0,J144&gt;0,'03_EXECUTION_LOG'!J144&lt;&gt;""))</f>
        <v>0</v>
      </c>
      <c r="M144" t="str">
        <f>IF(A144="","",IF('03_EXECUTION_LOG'!F144&lt;&gt;"success","non-success status",IF(INDEX('02_TASK_CATALOG'!J:J,MATCH(C144,'02_TASK_CATALOG'!A:A,0))&lt;&gt;TRUE,"task not approved",IF(H144&lt;=0,"no net time saved",IF(J144&lt;=0,"missing labor rate",IF('03_EXECUTION_LOG'!J144="","missing evidence",""))))))</f>
        <v/>
      </c>
      <c r="N144" t="str">
        <f>IF(A144="","",IF(AND(L144=TRUE,'03_EXECUTION_LOG'!I144=FALSE),"high",IF(AND(L144=TRUE,'03_EXECUTION_LOG'!I144=TRUE),"medium","low")))</f>
        <v/>
      </c>
      <c r="O144" t="str">
        <f>IF(A144="","",IF(AND(L144=TRUE,'03_EXECUTION_LOG'!J144&lt;&gt;""),"yes","needs-review"))</f>
        <v/>
      </c>
    </row>
    <row r="145">
      <c r="A145" t="str">
        <f>IF('03_EXECUTION_LOG'!A145="","",'03_EXECUTION_LOG'!A145)</f>
        <v/>
      </c>
      <c r="B145" t="str">
        <f>IF('03_EXECUTION_LOG'!B145="","",LEFT('03_EXECUTION_LOG'!B145,7))</f>
        <v/>
      </c>
      <c r="C145" t="str">
        <f>IF('03_EXECUTION_LOG'!E145="","",'03_EXECUTION_LOG'!E145)</f>
        <v/>
      </c>
      <c r="D145" t="str">
        <f>IF(C145="","",INDEX('02_TASK_CATALOG'!E:E,MATCH(C145,'02_TASK_CATALOG'!A:A,0)))</f>
        <v/>
      </c>
      <c r="E145">
        <f>IF(C145="","",INDEX('02_TASK_CATALOG'!F:F,MATCH(C145,'02_TASK_CATALOG'!A:A,0)))</f>
        <v>0</v>
      </c>
      <c r="F145">
        <f>IF(C145="","",INDEX('02_TASK_CATALOG'!G:G,MATCH(C145,'02_TASK_CATALOG'!A:A,0)))</f>
        <v>0</v>
      </c>
      <c r="G145">
        <f>IF(C145="","",INDEX('02_TASK_CATALOG'!H:H,MATCH(C145,'02_TASK_CATALOG'!A:A,0)))</f>
        <v>0</v>
      </c>
      <c r="H145">
        <f>IF(A145="","",MAX(0,E145-F145-G145))</f>
        <v>0</v>
      </c>
      <c r="I145">
        <f>IF(A145="","",H145*IF('03_EXECUTION_LOG'!H145="",1,'03_EXECUTION_LOG'!H145)/60)</f>
        <v>0</v>
      </c>
      <c r="J145">
        <f>IF(D145="","",INDEX('01_ASSUMPTIONS'!C:C,MATCH(D145,'01_ASSUMPTIONS'!A:A,0)))</f>
        <v>0</v>
      </c>
      <c r="K145">
        <f>IF(OR(A145="",L145&lt;&gt;TRUE),0,I145*J145)</f>
        <v>0</v>
      </c>
      <c r="L145" t="b">
        <f>IF(A145="","",AND('03_EXECUTION_LOG'!F145="success",INDEX('02_TASK_CATALOG'!J:J,MATCH(C145,'02_TASK_CATALOG'!A:A,0))=TRUE,H145&gt;0,J145&gt;0,'03_EXECUTION_LOG'!J145&lt;&gt;""))</f>
        <v>0</v>
      </c>
      <c r="M145" t="str">
        <f>IF(A145="","",IF('03_EXECUTION_LOG'!F145&lt;&gt;"success","non-success status",IF(INDEX('02_TASK_CATALOG'!J:J,MATCH(C145,'02_TASK_CATALOG'!A:A,0))&lt;&gt;TRUE,"task not approved",IF(H145&lt;=0,"no net time saved",IF(J145&lt;=0,"missing labor rate",IF('03_EXECUTION_LOG'!J145="","missing evidence",""))))))</f>
        <v/>
      </c>
      <c r="N145" t="str">
        <f>IF(A145="","",IF(AND(L145=TRUE,'03_EXECUTION_LOG'!I145=FALSE),"high",IF(AND(L145=TRUE,'03_EXECUTION_LOG'!I145=TRUE),"medium","low")))</f>
        <v/>
      </c>
      <c r="O145" t="str">
        <f>IF(A145="","",IF(AND(L145=TRUE,'03_EXECUTION_LOG'!J145&lt;&gt;""),"yes","needs-review"))</f>
        <v/>
      </c>
    </row>
    <row r="146">
      <c r="A146" t="str">
        <f>IF('03_EXECUTION_LOG'!A146="","",'03_EXECUTION_LOG'!A146)</f>
        <v/>
      </c>
      <c r="B146" t="str">
        <f>IF('03_EXECUTION_LOG'!B146="","",LEFT('03_EXECUTION_LOG'!B146,7))</f>
        <v/>
      </c>
      <c r="C146" t="str">
        <f>IF('03_EXECUTION_LOG'!E146="","",'03_EXECUTION_LOG'!E146)</f>
        <v/>
      </c>
      <c r="D146" t="str">
        <f>IF(C146="","",INDEX('02_TASK_CATALOG'!E:E,MATCH(C146,'02_TASK_CATALOG'!A:A,0)))</f>
        <v/>
      </c>
      <c r="E146">
        <f>IF(C146="","",INDEX('02_TASK_CATALOG'!F:F,MATCH(C146,'02_TASK_CATALOG'!A:A,0)))</f>
        <v>0</v>
      </c>
      <c r="F146">
        <f>IF(C146="","",INDEX('02_TASK_CATALOG'!G:G,MATCH(C146,'02_TASK_CATALOG'!A:A,0)))</f>
        <v>0</v>
      </c>
      <c r="G146">
        <f>IF(C146="","",INDEX('02_TASK_CATALOG'!H:H,MATCH(C146,'02_TASK_CATALOG'!A:A,0)))</f>
        <v>0</v>
      </c>
      <c r="H146">
        <f>IF(A146="","",MAX(0,E146-F146-G146))</f>
        <v>0</v>
      </c>
      <c r="I146">
        <f>IF(A146="","",H146*IF('03_EXECUTION_LOG'!H146="",1,'03_EXECUTION_LOG'!H146)/60)</f>
        <v>0</v>
      </c>
      <c r="J146">
        <f>IF(D146="","",INDEX('01_ASSUMPTIONS'!C:C,MATCH(D146,'01_ASSUMPTIONS'!A:A,0)))</f>
        <v>0</v>
      </c>
      <c r="K146">
        <f>IF(OR(A146="",L146&lt;&gt;TRUE),0,I146*J146)</f>
        <v>0</v>
      </c>
      <c r="L146" t="b">
        <f>IF(A146="","",AND('03_EXECUTION_LOG'!F146="success",INDEX('02_TASK_CATALOG'!J:J,MATCH(C146,'02_TASK_CATALOG'!A:A,0))=TRUE,H146&gt;0,J146&gt;0,'03_EXECUTION_LOG'!J146&lt;&gt;""))</f>
        <v>0</v>
      </c>
      <c r="M146" t="str">
        <f>IF(A146="","",IF('03_EXECUTION_LOG'!F146&lt;&gt;"success","non-success status",IF(INDEX('02_TASK_CATALOG'!J:J,MATCH(C146,'02_TASK_CATALOG'!A:A,0))&lt;&gt;TRUE,"task not approved",IF(H146&lt;=0,"no net time saved",IF(J146&lt;=0,"missing labor rate",IF('03_EXECUTION_LOG'!J146="","missing evidence",""))))))</f>
        <v/>
      </c>
      <c r="N146" t="str">
        <f>IF(A146="","",IF(AND(L146=TRUE,'03_EXECUTION_LOG'!I146=FALSE),"high",IF(AND(L146=TRUE,'03_EXECUTION_LOG'!I146=TRUE),"medium","low")))</f>
        <v/>
      </c>
      <c r="O146" t="str">
        <f>IF(A146="","",IF(AND(L146=TRUE,'03_EXECUTION_LOG'!J146&lt;&gt;""),"yes","needs-review"))</f>
        <v/>
      </c>
    </row>
    <row r="147">
      <c r="A147" t="str">
        <f>IF('03_EXECUTION_LOG'!A147="","",'03_EXECUTION_LOG'!A147)</f>
        <v/>
      </c>
      <c r="B147" t="str">
        <f>IF('03_EXECUTION_LOG'!B147="","",LEFT('03_EXECUTION_LOG'!B147,7))</f>
        <v/>
      </c>
      <c r="C147" t="str">
        <f>IF('03_EXECUTION_LOG'!E147="","",'03_EXECUTION_LOG'!E147)</f>
        <v/>
      </c>
      <c r="D147" t="str">
        <f>IF(C147="","",INDEX('02_TASK_CATALOG'!E:E,MATCH(C147,'02_TASK_CATALOG'!A:A,0)))</f>
        <v/>
      </c>
      <c r="E147">
        <f>IF(C147="","",INDEX('02_TASK_CATALOG'!F:F,MATCH(C147,'02_TASK_CATALOG'!A:A,0)))</f>
        <v>0</v>
      </c>
      <c r="F147">
        <f>IF(C147="","",INDEX('02_TASK_CATALOG'!G:G,MATCH(C147,'02_TASK_CATALOG'!A:A,0)))</f>
        <v>0</v>
      </c>
      <c r="G147">
        <f>IF(C147="","",INDEX('02_TASK_CATALOG'!H:H,MATCH(C147,'02_TASK_CATALOG'!A:A,0)))</f>
        <v>0</v>
      </c>
      <c r="H147">
        <f>IF(A147="","",MAX(0,E147-F147-G147))</f>
        <v>0</v>
      </c>
      <c r="I147">
        <f>IF(A147="","",H147*IF('03_EXECUTION_LOG'!H147="",1,'03_EXECUTION_LOG'!H147)/60)</f>
        <v>0</v>
      </c>
      <c r="J147">
        <f>IF(D147="","",INDEX('01_ASSUMPTIONS'!C:C,MATCH(D147,'01_ASSUMPTIONS'!A:A,0)))</f>
        <v>0</v>
      </c>
      <c r="K147">
        <f>IF(OR(A147="",L147&lt;&gt;TRUE),0,I147*J147)</f>
        <v>0</v>
      </c>
      <c r="L147" t="b">
        <f>IF(A147="","",AND('03_EXECUTION_LOG'!F147="success",INDEX('02_TASK_CATALOG'!J:J,MATCH(C147,'02_TASK_CATALOG'!A:A,0))=TRUE,H147&gt;0,J147&gt;0,'03_EXECUTION_LOG'!J147&lt;&gt;""))</f>
        <v>0</v>
      </c>
      <c r="M147" t="str">
        <f>IF(A147="","",IF('03_EXECUTION_LOG'!F147&lt;&gt;"success","non-success status",IF(INDEX('02_TASK_CATALOG'!J:J,MATCH(C147,'02_TASK_CATALOG'!A:A,0))&lt;&gt;TRUE,"task not approved",IF(H147&lt;=0,"no net time saved",IF(J147&lt;=0,"missing labor rate",IF('03_EXECUTION_LOG'!J147="","missing evidence",""))))))</f>
        <v/>
      </c>
      <c r="N147" t="str">
        <f>IF(A147="","",IF(AND(L147=TRUE,'03_EXECUTION_LOG'!I147=FALSE),"high",IF(AND(L147=TRUE,'03_EXECUTION_LOG'!I147=TRUE),"medium","low")))</f>
        <v/>
      </c>
      <c r="O147" t="str">
        <f>IF(A147="","",IF(AND(L147=TRUE,'03_EXECUTION_LOG'!J147&lt;&gt;""),"yes","needs-review"))</f>
        <v/>
      </c>
    </row>
    <row r="148">
      <c r="A148" t="str">
        <f>IF('03_EXECUTION_LOG'!A148="","",'03_EXECUTION_LOG'!A148)</f>
        <v/>
      </c>
      <c r="B148" t="str">
        <f>IF('03_EXECUTION_LOG'!B148="","",LEFT('03_EXECUTION_LOG'!B148,7))</f>
        <v/>
      </c>
      <c r="C148" t="str">
        <f>IF('03_EXECUTION_LOG'!E148="","",'03_EXECUTION_LOG'!E148)</f>
        <v/>
      </c>
      <c r="D148" t="str">
        <f>IF(C148="","",INDEX('02_TASK_CATALOG'!E:E,MATCH(C148,'02_TASK_CATALOG'!A:A,0)))</f>
        <v/>
      </c>
      <c r="E148">
        <f>IF(C148="","",INDEX('02_TASK_CATALOG'!F:F,MATCH(C148,'02_TASK_CATALOG'!A:A,0)))</f>
        <v>0</v>
      </c>
      <c r="F148">
        <f>IF(C148="","",INDEX('02_TASK_CATALOG'!G:G,MATCH(C148,'02_TASK_CATALOG'!A:A,0)))</f>
        <v>0</v>
      </c>
      <c r="G148">
        <f>IF(C148="","",INDEX('02_TASK_CATALOG'!H:H,MATCH(C148,'02_TASK_CATALOG'!A:A,0)))</f>
        <v>0</v>
      </c>
      <c r="H148">
        <f>IF(A148="","",MAX(0,E148-F148-G148))</f>
        <v>0</v>
      </c>
      <c r="I148">
        <f>IF(A148="","",H148*IF('03_EXECUTION_LOG'!H148="",1,'03_EXECUTION_LOG'!H148)/60)</f>
        <v>0</v>
      </c>
      <c r="J148">
        <f>IF(D148="","",INDEX('01_ASSUMPTIONS'!C:C,MATCH(D148,'01_ASSUMPTIONS'!A:A,0)))</f>
        <v>0</v>
      </c>
      <c r="K148">
        <f>IF(OR(A148="",L148&lt;&gt;TRUE),0,I148*J148)</f>
        <v>0</v>
      </c>
      <c r="L148" t="b">
        <f>IF(A148="","",AND('03_EXECUTION_LOG'!F148="success",INDEX('02_TASK_CATALOG'!J:J,MATCH(C148,'02_TASK_CATALOG'!A:A,0))=TRUE,H148&gt;0,J148&gt;0,'03_EXECUTION_LOG'!J148&lt;&gt;""))</f>
        <v>0</v>
      </c>
      <c r="M148" t="str">
        <f>IF(A148="","",IF('03_EXECUTION_LOG'!F148&lt;&gt;"success","non-success status",IF(INDEX('02_TASK_CATALOG'!J:J,MATCH(C148,'02_TASK_CATALOG'!A:A,0))&lt;&gt;TRUE,"task not approved",IF(H148&lt;=0,"no net time saved",IF(J148&lt;=0,"missing labor rate",IF('03_EXECUTION_LOG'!J148="","missing evidence",""))))))</f>
        <v/>
      </c>
      <c r="N148" t="str">
        <f>IF(A148="","",IF(AND(L148=TRUE,'03_EXECUTION_LOG'!I148=FALSE),"high",IF(AND(L148=TRUE,'03_EXECUTION_LOG'!I148=TRUE),"medium","low")))</f>
        <v/>
      </c>
      <c r="O148" t="str">
        <f>IF(A148="","",IF(AND(L148=TRUE,'03_EXECUTION_LOG'!J148&lt;&gt;""),"yes","needs-review"))</f>
        <v/>
      </c>
    </row>
    <row r="149">
      <c r="A149" t="str">
        <f>IF('03_EXECUTION_LOG'!A149="","",'03_EXECUTION_LOG'!A149)</f>
        <v/>
      </c>
      <c r="B149" t="str">
        <f>IF('03_EXECUTION_LOG'!B149="","",LEFT('03_EXECUTION_LOG'!B149,7))</f>
        <v/>
      </c>
      <c r="C149" t="str">
        <f>IF('03_EXECUTION_LOG'!E149="","",'03_EXECUTION_LOG'!E149)</f>
        <v/>
      </c>
      <c r="D149" t="str">
        <f>IF(C149="","",INDEX('02_TASK_CATALOG'!E:E,MATCH(C149,'02_TASK_CATALOG'!A:A,0)))</f>
        <v/>
      </c>
      <c r="E149">
        <f>IF(C149="","",INDEX('02_TASK_CATALOG'!F:F,MATCH(C149,'02_TASK_CATALOG'!A:A,0)))</f>
        <v>0</v>
      </c>
      <c r="F149">
        <f>IF(C149="","",INDEX('02_TASK_CATALOG'!G:G,MATCH(C149,'02_TASK_CATALOG'!A:A,0)))</f>
        <v>0</v>
      </c>
      <c r="G149">
        <f>IF(C149="","",INDEX('02_TASK_CATALOG'!H:H,MATCH(C149,'02_TASK_CATALOG'!A:A,0)))</f>
        <v>0</v>
      </c>
      <c r="H149">
        <f>IF(A149="","",MAX(0,E149-F149-G149))</f>
        <v>0</v>
      </c>
      <c r="I149">
        <f>IF(A149="","",H149*IF('03_EXECUTION_LOG'!H149="",1,'03_EXECUTION_LOG'!H149)/60)</f>
        <v>0</v>
      </c>
      <c r="J149">
        <f>IF(D149="","",INDEX('01_ASSUMPTIONS'!C:C,MATCH(D149,'01_ASSUMPTIONS'!A:A,0)))</f>
        <v>0</v>
      </c>
      <c r="K149">
        <f>IF(OR(A149="",L149&lt;&gt;TRUE),0,I149*J149)</f>
        <v>0</v>
      </c>
      <c r="L149" t="b">
        <f>IF(A149="","",AND('03_EXECUTION_LOG'!F149="success",INDEX('02_TASK_CATALOG'!J:J,MATCH(C149,'02_TASK_CATALOG'!A:A,0))=TRUE,H149&gt;0,J149&gt;0,'03_EXECUTION_LOG'!J149&lt;&gt;""))</f>
        <v>0</v>
      </c>
      <c r="M149" t="str">
        <f>IF(A149="","",IF('03_EXECUTION_LOG'!F149&lt;&gt;"success","non-success status",IF(INDEX('02_TASK_CATALOG'!J:J,MATCH(C149,'02_TASK_CATALOG'!A:A,0))&lt;&gt;TRUE,"task not approved",IF(H149&lt;=0,"no net time saved",IF(J149&lt;=0,"missing labor rate",IF('03_EXECUTION_LOG'!J149="","missing evidence",""))))))</f>
        <v/>
      </c>
      <c r="N149" t="str">
        <f>IF(A149="","",IF(AND(L149=TRUE,'03_EXECUTION_LOG'!I149=FALSE),"high",IF(AND(L149=TRUE,'03_EXECUTION_LOG'!I149=TRUE),"medium","low")))</f>
        <v/>
      </c>
      <c r="O149" t="str">
        <f>IF(A149="","",IF(AND(L149=TRUE,'03_EXECUTION_LOG'!J149&lt;&gt;""),"yes","needs-review"))</f>
        <v/>
      </c>
    </row>
    <row r="150">
      <c r="A150" t="str">
        <f>IF('03_EXECUTION_LOG'!A150="","",'03_EXECUTION_LOG'!A150)</f>
        <v/>
      </c>
      <c r="B150" t="str">
        <f>IF('03_EXECUTION_LOG'!B150="","",LEFT('03_EXECUTION_LOG'!B150,7))</f>
        <v/>
      </c>
      <c r="C150" t="str">
        <f>IF('03_EXECUTION_LOG'!E150="","",'03_EXECUTION_LOG'!E150)</f>
        <v/>
      </c>
      <c r="D150" t="str">
        <f>IF(C150="","",INDEX('02_TASK_CATALOG'!E:E,MATCH(C150,'02_TASK_CATALOG'!A:A,0)))</f>
        <v/>
      </c>
      <c r="E150">
        <f>IF(C150="","",INDEX('02_TASK_CATALOG'!F:F,MATCH(C150,'02_TASK_CATALOG'!A:A,0)))</f>
        <v>0</v>
      </c>
      <c r="F150">
        <f>IF(C150="","",INDEX('02_TASK_CATALOG'!G:G,MATCH(C150,'02_TASK_CATALOG'!A:A,0)))</f>
        <v>0</v>
      </c>
      <c r="G150">
        <f>IF(C150="","",INDEX('02_TASK_CATALOG'!H:H,MATCH(C150,'02_TASK_CATALOG'!A:A,0)))</f>
        <v>0</v>
      </c>
      <c r="H150">
        <f>IF(A150="","",MAX(0,E150-F150-G150))</f>
        <v>0</v>
      </c>
      <c r="I150">
        <f>IF(A150="","",H150*IF('03_EXECUTION_LOG'!H150="",1,'03_EXECUTION_LOG'!H150)/60)</f>
        <v>0</v>
      </c>
      <c r="J150">
        <f>IF(D150="","",INDEX('01_ASSUMPTIONS'!C:C,MATCH(D150,'01_ASSUMPTIONS'!A:A,0)))</f>
        <v>0</v>
      </c>
      <c r="K150">
        <f>IF(OR(A150="",L150&lt;&gt;TRUE),0,I150*J150)</f>
        <v>0</v>
      </c>
      <c r="L150" t="b">
        <f>IF(A150="","",AND('03_EXECUTION_LOG'!F150="success",INDEX('02_TASK_CATALOG'!J:J,MATCH(C150,'02_TASK_CATALOG'!A:A,0))=TRUE,H150&gt;0,J150&gt;0,'03_EXECUTION_LOG'!J150&lt;&gt;""))</f>
        <v>0</v>
      </c>
      <c r="M150" t="str">
        <f>IF(A150="","",IF('03_EXECUTION_LOG'!F150&lt;&gt;"success","non-success status",IF(INDEX('02_TASK_CATALOG'!J:J,MATCH(C150,'02_TASK_CATALOG'!A:A,0))&lt;&gt;TRUE,"task not approved",IF(H150&lt;=0,"no net time saved",IF(J150&lt;=0,"missing labor rate",IF('03_EXECUTION_LOG'!J150="","missing evidence",""))))))</f>
        <v/>
      </c>
      <c r="N150" t="str">
        <f>IF(A150="","",IF(AND(L150=TRUE,'03_EXECUTION_LOG'!I150=FALSE),"high",IF(AND(L150=TRUE,'03_EXECUTION_LOG'!I150=TRUE),"medium","low")))</f>
        <v/>
      </c>
      <c r="O150" t="str">
        <f>IF(A150="","",IF(AND(L150=TRUE,'03_EXECUTION_LOG'!J150&lt;&gt;""),"yes","needs-review"))</f>
        <v/>
      </c>
    </row>
    <row r="151">
      <c r="A151" t="str">
        <f>IF('03_EXECUTION_LOG'!A151="","",'03_EXECUTION_LOG'!A151)</f>
        <v/>
      </c>
      <c r="B151" t="str">
        <f>IF('03_EXECUTION_LOG'!B151="","",LEFT('03_EXECUTION_LOG'!B151,7))</f>
        <v/>
      </c>
      <c r="C151" t="str">
        <f>IF('03_EXECUTION_LOG'!E151="","",'03_EXECUTION_LOG'!E151)</f>
        <v/>
      </c>
      <c r="D151" t="str">
        <f>IF(C151="","",INDEX('02_TASK_CATALOG'!E:E,MATCH(C151,'02_TASK_CATALOG'!A:A,0)))</f>
        <v/>
      </c>
      <c r="E151">
        <f>IF(C151="","",INDEX('02_TASK_CATALOG'!F:F,MATCH(C151,'02_TASK_CATALOG'!A:A,0)))</f>
        <v>0</v>
      </c>
      <c r="F151">
        <f>IF(C151="","",INDEX('02_TASK_CATALOG'!G:G,MATCH(C151,'02_TASK_CATALOG'!A:A,0)))</f>
        <v>0</v>
      </c>
      <c r="G151">
        <f>IF(C151="","",INDEX('02_TASK_CATALOG'!H:H,MATCH(C151,'02_TASK_CATALOG'!A:A,0)))</f>
        <v>0</v>
      </c>
      <c r="H151">
        <f>IF(A151="","",MAX(0,E151-F151-G151))</f>
        <v>0</v>
      </c>
      <c r="I151">
        <f>IF(A151="","",H151*IF('03_EXECUTION_LOG'!H151="",1,'03_EXECUTION_LOG'!H151)/60)</f>
        <v>0</v>
      </c>
      <c r="J151">
        <f>IF(D151="","",INDEX('01_ASSUMPTIONS'!C:C,MATCH(D151,'01_ASSUMPTIONS'!A:A,0)))</f>
        <v>0</v>
      </c>
      <c r="K151">
        <f>IF(OR(A151="",L151&lt;&gt;TRUE),0,I151*J151)</f>
        <v>0</v>
      </c>
      <c r="L151" t="b">
        <f>IF(A151="","",AND('03_EXECUTION_LOG'!F151="success",INDEX('02_TASK_CATALOG'!J:J,MATCH(C151,'02_TASK_CATALOG'!A:A,0))=TRUE,H151&gt;0,J151&gt;0,'03_EXECUTION_LOG'!J151&lt;&gt;""))</f>
        <v>0</v>
      </c>
      <c r="M151" t="str">
        <f>IF(A151="","",IF('03_EXECUTION_LOG'!F151&lt;&gt;"success","non-success status",IF(INDEX('02_TASK_CATALOG'!J:J,MATCH(C151,'02_TASK_CATALOG'!A:A,0))&lt;&gt;TRUE,"task not approved",IF(H151&lt;=0,"no net time saved",IF(J151&lt;=0,"missing labor rate",IF('03_EXECUTION_LOG'!J151="","missing evidence",""))))))</f>
        <v/>
      </c>
      <c r="N151" t="str">
        <f>IF(A151="","",IF(AND(L151=TRUE,'03_EXECUTION_LOG'!I151=FALSE),"high",IF(AND(L151=TRUE,'03_EXECUTION_LOG'!I151=TRUE),"medium","low")))</f>
        <v/>
      </c>
      <c r="O151" t="str">
        <f>IF(A151="","",IF(AND(L151=TRUE,'03_EXECUTION_LOG'!J151&lt;&gt;""),"yes","needs-review"))</f>
        <v/>
      </c>
    </row>
    <row r="152">
      <c r="A152" t="str">
        <f>IF('03_EXECUTION_LOG'!A152="","",'03_EXECUTION_LOG'!A152)</f>
        <v/>
      </c>
      <c r="B152" t="str">
        <f>IF('03_EXECUTION_LOG'!B152="","",LEFT('03_EXECUTION_LOG'!B152,7))</f>
        <v/>
      </c>
      <c r="C152" t="str">
        <f>IF('03_EXECUTION_LOG'!E152="","",'03_EXECUTION_LOG'!E152)</f>
        <v/>
      </c>
      <c r="D152" t="str">
        <f>IF(C152="","",INDEX('02_TASK_CATALOG'!E:E,MATCH(C152,'02_TASK_CATALOG'!A:A,0)))</f>
        <v/>
      </c>
      <c r="E152">
        <f>IF(C152="","",INDEX('02_TASK_CATALOG'!F:F,MATCH(C152,'02_TASK_CATALOG'!A:A,0)))</f>
        <v>0</v>
      </c>
      <c r="F152">
        <f>IF(C152="","",INDEX('02_TASK_CATALOG'!G:G,MATCH(C152,'02_TASK_CATALOG'!A:A,0)))</f>
        <v>0</v>
      </c>
      <c r="G152">
        <f>IF(C152="","",INDEX('02_TASK_CATALOG'!H:H,MATCH(C152,'02_TASK_CATALOG'!A:A,0)))</f>
        <v>0</v>
      </c>
      <c r="H152">
        <f>IF(A152="","",MAX(0,E152-F152-G152))</f>
        <v>0</v>
      </c>
      <c r="I152">
        <f>IF(A152="","",H152*IF('03_EXECUTION_LOG'!H152="",1,'03_EXECUTION_LOG'!H152)/60)</f>
        <v>0</v>
      </c>
      <c r="J152">
        <f>IF(D152="","",INDEX('01_ASSUMPTIONS'!C:C,MATCH(D152,'01_ASSUMPTIONS'!A:A,0)))</f>
        <v>0</v>
      </c>
      <c r="K152">
        <f>IF(OR(A152="",L152&lt;&gt;TRUE),0,I152*J152)</f>
        <v>0</v>
      </c>
      <c r="L152" t="b">
        <f>IF(A152="","",AND('03_EXECUTION_LOG'!F152="success",INDEX('02_TASK_CATALOG'!J:J,MATCH(C152,'02_TASK_CATALOG'!A:A,0))=TRUE,H152&gt;0,J152&gt;0,'03_EXECUTION_LOG'!J152&lt;&gt;""))</f>
        <v>0</v>
      </c>
      <c r="M152" t="str">
        <f>IF(A152="","",IF('03_EXECUTION_LOG'!F152&lt;&gt;"success","non-success status",IF(INDEX('02_TASK_CATALOG'!J:J,MATCH(C152,'02_TASK_CATALOG'!A:A,0))&lt;&gt;TRUE,"task not approved",IF(H152&lt;=0,"no net time saved",IF(J152&lt;=0,"missing labor rate",IF('03_EXECUTION_LOG'!J152="","missing evidence",""))))))</f>
        <v/>
      </c>
      <c r="N152" t="str">
        <f>IF(A152="","",IF(AND(L152=TRUE,'03_EXECUTION_LOG'!I152=FALSE),"high",IF(AND(L152=TRUE,'03_EXECUTION_LOG'!I152=TRUE),"medium","low")))</f>
        <v/>
      </c>
      <c r="O152" t="str">
        <f>IF(A152="","",IF(AND(L152=TRUE,'03_EXECUTION_LOG'!J152&lt;&gt;""),"yes","needs-review"))</f>
        <v/>
      </c>
    </row>
    <row r="153">
      <c r="A153" t="str">
        <f>IF('03_EXECUTION_LOG'!A153="","",'03_EXECUTION_LOG'!A153)</f>
        <v/>
      </c>
      <c r="B153" t="str">
        <f>IF('03_EXECUTION_LOG'!B153="","",LEFT('03_EXECUTION_LOG'!B153,7))</f>
        <v/>
      </c>
      <c r="C153" t="str">
        <f>IF('03_EXECUTION_LOG'!E153="","",'03_EXECUTION_LOG'!E153)</f>
        <v/>
      </c>
      <c r="D153" t="str">
        <f>IF(C153="","",INDEX('02_TASK_CATALOG'!E:E,MATCH(C153,'02_TASK_CATALOG'!A:A,0)))</f>
        <v/>
      </c>
      <c r="E153">
        <f>IF(C153="","",INDEX('02_TASK_CATALOG'!F:F,MATCH(C153,'02_TASK_CATALOG'!A:A,0)))</f>
        <v>0</v>
      </c>
      <c r="F153">
        <f>IF(C153="","",INDEX('02_TASK_CATALOG'!G:G,MATCH(C153,'02_TASK_CATALOG'!A:A,0)))</f>
        <v>0</v>
      </c>
      <c r="G153">
        <f>IF(C153="","",INDEX('02_TASK_CATALOG'!H:H,MATCH(C153,'02_TASK_CATALOG'!A:A,0)))</f>
        <v>0</v>
      </c>
      <c r="H153">
        <f>IF(A153="","",MAX(0,E153-F153-G153))</f>
        <v>0</v>
      </c>
      <c r="I153">
        <f>IF(A153="","",H153*IF('03_EXECUTION_LOG'!H153="",1,'03_EXECUTION_LOG'!H153)/60)</f>
        <v>0</v>
      </c>
      <c r="J153">
        <f>IF(D153="","",INDEX('01_ASSUMPTIONS'!C:C,MATCH(D153,'01_ASSUMPTIONS'!A:A,0)))</f>
        <v>0</v>
      </c>
      <c r="K153">
        <f>IF(OR(A153="",L153&lt;&gt;TRUE),0,I153*J153)</f>
        <v>0</v>
      </c>
      <c r="L153" t="b">
        <f>IF(A153="","",AND('03_EXECUTION_LOG'!F153="success",INDEX('02_TASK_CATALOG'!J:J,MATCH(C153,'02_TASK_CATALOG'!A:A,0))=TRUE,H153&gt;0,J153&gt;0,'03_EXECUTION_LOG'!J153&lt;&gt;""))</f>
        <v>0</v>
      </c>
      <c r="M153" t="str">
        <f>IF(A153="","",IF('03_EXECUTION_LOG'!F153&lt;&gt;"success","non-success status",IF(INDEX('02_TASK_CATALOG'!J:J,MATCH(C153,'02_TASK_CATALOG'!A:A,0))&lt;&gt;TRUE,"task not approved",IF(H153&lt;=0,"no net time saved",IF(J153&lt;=0,"missing labor rate",IF('03_EXECUTION_LOG'!J153="","missing evidence",""))))))</f>
        <v/>
      </c>
      <c r="N153" t="str">
        <f>IF(A153="","",IF(AND(L153=TRUE,'03_EXECUTION_LOG'!I153=FALSE),"high",IF(AND(L153=TRUE,'03_EXECUTION_LOG'!I153=TRUE),"medium","low")))</f>
        <v/>
      </c>
      <c r="O153" t="str">
        <f>IF(A153="","",IF(AND(L153=TRUE,'03_EXECUTION_LOG'!J153&lt;&gt;""),"yes","needs-review"))</f>
        <v/>
      </c>
    </row>
    <row r="154">
      <c r="A154" t="str">
        <f>IF('03_EXECUTION_LOG'!A154="","",'03_EXECUTION_LOG'!A154)</f>
        <v/>
      </c>
      <c r="B154" t="str">
        <f>IF('03_EXECUTION_LOG'!B154="","",LEFT('03_EXECUTION_LOG'!B154,7))</f>
        <v/>
      </c>
      <c r="C154" t="str">
        <f>IF('03_EXECUTION_LOG'!E154="","",'03_EXECUTION_LOG'!E154)</f>
        <v/>
      </c>
      <c r="D154" t="str">
        <f>IF(C154="","",INDEX('02_TASK_CATALOG'!E:E,MATCH(C154,'02_TASK_CATALOG'!A:A,0)))</f>
        <v/>
      </c>
      <c r="E154">
        <f>IF(C154="","",INDEX('02_TASK_CATALOG'!F:F,MATCH(C154,'02_TASK_CATALOG'!A:A,0)))</f>
        <v>0</v>
      </c>
      <c r="F154">
        <f>IF(C154="","",INDEX('02_TASK_CATALOG'!G:G,MATCH(C154,'02_TASK_CATALOG'!A:A,0)))</f>
        <v>0</v>
      </c>
      <c r="G154">
        <f>IF(C154="","",INDEX('02_TASK_CATALOG'!H:H,MATCH(C154,'02_TASK_CATALOG'!A:A,0)))</f>
        <v>0</v>
      </c>
      <c r="H154">
        <f>IF(A154="","",MAX(0,E154-F154-G154))</f>
        <v>0</v>
      </c>
      <c r="I154">
        <f>IF(A154="","",H154*IF('03_EXECUTION_LOG'!H154="",1,'03_EXECUTION_LOG'!H154)/60)</f>
        <v>0</v>
      </c>
      <c r="J154">
        <f>IF(D154="","",INDEX('01_ASSUMPTIONS'!C:C,MATCH(D154,'01_ASSUMPTIONS'!A:A,0)))</f>
        <v>0</v>
      </c>
      <c r="K154">
        <f>IF(OR(A154="",L154&lt;&gt;TRUE),0,I154*J154)</f>
        <v>0</v>
      </c>
      <c r="L154" t="b">
        <f>IF(A154="","",AND('03_EXECUTION_LOG'!F154="success",INDEX('02_TASK_CATALOG'!J:J,MATCH(C154,'02_TASK_CATALOG'!A:A,0))=TRUE,H154&gt;0,J154&gt;0,'03_EXECUTION_LOG'!J154&lt;&gt;""))</f>
        <v>0</v>
      </c>
      <c r="M154" t="str">
        <f>IF(A154="","",IF('03_EXECUTION_LOG'!F154&lt;&gt;"success","non-success status",IF(INDEX('02_TASK_CATALOG'!J:J,MATCH(C154,'02_TASK_CATALOG'!A:A,0))&lt;&gt;TRUE,"task not approved",IF(H154&lt;=0,"no net time saved",IF(J154&lt;=0,"missing labor rate",IF('03_EXECUTION_LOG'!J154="","missing evidence",""))))))</f>
        <v/>
      </c>
      <c r="N154" t="str">
        <f>IF(A154="","",IF(AND(L154=TRUE,'03_EXECUTION_LOG'!I154=FALSE),"high",IF(AND(L154=TRUE,'03_EXECUTION_LOG'!I154=TRUE),"medium","low")))</f>
        <v/>
      </c>
      <c r="O154" t="str">
        <f>IF(A154="","",IF(AND(L154=TRUE,'03_EXECUTION_LOG'!J154&lt;&gt;""),"yes","needs-review"))</f>
        <v/>
      </c>
    </row>
    <row r="155">
      <c r="A155" t="str">
        <f>IF('03_EXECUTION_LOG'!A155="","",'03_EXECUTION_LOG'!A155)</f>
        <v/>
      </c>
      <c r="B155" t="str">
        <f>IF('03_EXECUTION_LOG'!B155="","",LEFT('03_EXECUTION_LOG'!B155,7))</f>
        <v/>
      </c>
      <c r="C155" t="str">
        <f>IF('03_EXECUTION_LOG'!E155="","",'03_EXECUTION_LOG'!E155)</f>
        <v/>
      </c>
      <c r="D155" t="str">
        <f>IF(C155="","",INDEX('02_TASK_CATALOG'!E:E,MATCH(C155,'02_TASK_CATALOG'!A:A,0)))</f>
        <v/>
      </c>
      <c r="E155">
        <f>IF(C155="","",INDEX('02_TASK_CATALOG'!F:F,MATCH(C155,'02_TASK_CATALOG'!A:A,0)))</f>
        <v>0</v>
      </c>
      <c r="F155">
        <f>IF(C155="","",INDEX('02_TASK_CATALOG'!G:G,MATCH(C155,'02_TASK_CATALOG'!A:A,0)))</f>
        <v>0</v>
      </c>
      <c r="G155">
        <f>IF(C155="","",INDEX('02_TASK_CATALOG'!H:H,MATCH(C155,'02_TASK_CATALOG'!A:A,0)))</f>
        <v>0</v>
      </c>
      <c r="H155">
        <f>IF(A155="","",MAX(0,E155-F155-G155))</f>
        <v>0</v>
      </c>
      <c r="I155">
        <f>IF(A155="","",H155*IF('03_EXECUTION_LOG'!H155="",1,'03_EXECUTION_LOG'!H155)/60)</f>
        <v>0</v>
      </c>
      <c r="J155">
        <f>IF(D155="","",INDEX('01_ASSUMPTIONS'!C:C,MATCH(D155,'01_ASSUMPTIONS'!A:A,0)))</f>
        <v>0</v>
      </c>
      <c r="K155">
        <f>IF(OR(A155="",L155&lt;&gt;TRUE),0,I155*J155)</f>
        <v>0</v>
      </c>
      <c r="L155" t="b">
        <f>IF(A155="","",AND('03_EXECUTION_LOG'!F155="success",INDEX('02_TASK_CATALOG'!J:J,MATCH(C155,'02_TASK_CATALOG'!A:A,0))=TRUE,H155&gt;0,J155&gt;0,'03_EXECUTION_LOG'!J155&lt;&gt;""))</f>
        <v>0</v>
      </c>
      <c r="M155" t="str">
        <f>IF(A155="","",IF('03_EXECUTION_LOG'!F155&lt;&gt;"success","non-success status",IF(INDEX('02_TASK_CATALOG'!J:J,MATCH(C155,'02_TASK_CATALOG'!A:A,0))&lt;&gt;TRUE,"task not approved",IF(H155&lt;=0,"no net time saved",IF(J155&lt;=0,"missing labor rate",IF('03_EXECUTION_LOG'!J155="","missing evidence",""))))))</f>
        <v/>
      </c>
      <c r="N155" t="str">
        <f>IF(A155="","",IF(AND(L155=TRUE,'03_EXECUTION_LOG'!I155=FALSE),"high",IF(AND(L155=TRUE,'03_EXECUTION_LOG'!I155=TRUE),"medium","low")))</f>
        <v/>
      </c>
      <c r="O155" t="str">
        <f>IF(A155="","",IF(AND(L155=TRUE,'03_EXECUTION_LOG'!J155&lt;&gt;""),"yes","needs-review"))</f>
        <v/>
      </c>
    </row>
    <row r="156">
      <c r="A156" t="str">
        <f>IF('03_EXECUTION_LOG'!A156="","",'03_EXECUTION_LOG'!A156)</f>
        <v/>
      </c>
      <c r="B156" t="str">
        <f>IF('03_EXECUTION_LOG'!B156="","",LEFT('03_EXECUTION_LOG'!B156,7))</f>
        <v/>
      </c>
      <c r="C156" t="str">
        <f>IF('03_EXECUTION_LOG'!E156="","",'03_EXECUTION_LOG'!E156)</f>
        <v/>
      </c>
      <c r="D156" t="str">
        <f>IF(C156="","",INDEX('02_TASK_CATALOG'!E:E,MATCH(C156,'02_TASK_CATALOG'!A:A,0)))</f>
        <v/>
      </c>
      <c r="E156">
        <f>IF(C156="","",INDEX('02_TASK_CATALOG'!F:F,MATCH(C156,'02_TASK_CATALOG'!A:A,0)))</f>
        <v>0</v>
      </c>
      <c r="F156">
        <f>IF(C156="","",INDEX('02_TASK_CATALOG'!G:G,MATCH(C156,'02_TASK_CATALOG'!A:A,0)))</f>
        <v>0</v>
      </c>
      <c r="G156">
        <f>IF(C156="","",INDEX('02_TASK_CATALOG'!H:H,MATCH(C156,'02_TASK_CATALOG'!A:A,0)))</f>
        <v>0</v>
      </c>
      <c r="H156">
        <f>IF(A156="","",MAX(0,E156-F156-G156))</f>
        <v>0</v>
      </c>
      <c r="I156">
        <f>IF(A156="","",H156*IF('03_EXECUTION_LOG'!H156="",1,'03_EXECUTION_LOG'!H156)/60)</f>
        <v>0</v>
      </c>
      <c r="J156">
        <f>IF(D156="","",INDEX('01_ASSUMPTIONS'!C:C,MATCH(D156,'01_ASSUMPTIONS'!A:A,0)))</f>
        <v>0</v>
      </c>
      <c r="K156">
        <f>IF(OR(A156="",L156&lt;&gt;TRUE),0,I156*J156)</f>
        <v>0</v>
      </c>
      <c r="L156" t="b">
        <f>IF(A156="","",AND('03_EXECUTION_LOG'!F156="success",INDEX('02_TASK_CATALOG'!J:J,MATCH(C156,'02_TASK_CATALOG'!A:A,0))=TRUE,H156&gt;0,J156&gt;0,'03_EXECUTION_LOG'!J156&lt;&gt;""))</f>
        <v>0</v>
      </c>
      <c r="M156" t="str">
        <f>IF(A156="","",IF('03_EXECUTION_LOG'!F156&lt;&gt;"success","non-success status",IF(INDEX('02_TASK_CATALOG'!J:J,MATCH(C156,'02_TASK_CATALOG'!A:A,0))&lt;&gt;TRUE,"task not approved",IF(H156&lt;=0,"no net time saved",IF(J156&lt;=0,"missing labor rate",IF('03_EXECUTION_LOG'!J156="","missing evidence",""))))))</f>
        <v/>
      </c>
      <c r="N156" t="str">
        <f>IF(A156="","",IF(AND(L156=TRUE,'03_EXECUTION_LOG'!I156=FALSE),"high",IF(AND(L156=TRUE,'03_EXECUTION_LOG'!I156=TRUE),"medium","low")))</f>
        <v/>
      </c>
      <c r="O156" t="str">
        <f>IF(A156="","",IF(AND(L156=TRUE,'03_EXECUTION_LOG'!J156&lt;&gt;""),"yes","needs-review"))</f>
        <v/>
      </c>
    </row>
    <row r="157">
      <c r="A157" t="str">
        <f>IF('03_EXECUTION_LOG'!A157="","",'03_EXECUTION_LOG'!A157)</f>
        <v/>
      </c>
      <c r="B157" t="str">
        <f>IF('03_EXECUTION_LOG'!B157="","",LEFT('03_EXECUTION_LOG'!B157,7))</f>
        <v/>
      </c>
      <c r="C157" t="str">
        <f>IF('03_EXECUTION_LOG'!E157="","",'03_EXECUTION_LOG'!E157)</f>
        <v/>
      </c>
      <c r="D157" t="str">
        <f>IF(C157="","",INDEX('02_TASK_CATALOG'!E:E,MATCH(C157,'02_TASK_CATALOG'!A:A,0)))</f>
        <v/>
      </c>
      <c r="E157">
        <f>IF(C157="","",INDEX('02_TASK_CATALOG'!F:F,MATCH(C157,'02_TASK_CATALOG'!A:A,0)))</f>
        <v>0</v>
      </c>
      <c r="F157">
        <f>IF(C157="","",INDEX('02_TASK_CATALOG'!G:G,MATCH(C157,'02_TASK_CATALOG'!A:A,0)))</f>
        <v>0</v>
      </c>
      <c r="G157">
        <f>IF(C157="","",INDEX('02_TASK_CATALOG'!H:H,MATCH(C157,'02_TASK_CATALOG'!A:A,0)))</f>
        <v>0</v>
      </c>
      <c r="H157">
        <f>IF(A157="","",MAX(0,E157-F157-G157))</f>
        <v>0</v>
      </c>
      <c r="I157">
        <f>IF(A157="","",H157*IF('03_EXECUTION_LOG'!H157="",1,'03_EXECUTION_LOG'!H157)/60)</f>
        <v>0</v>
      </c>
      <c r="J157">
        <f>IF(D157="","",INDEX('01_ASSUMPTIONS'!C:C,MATCH(D157,'01_ASSUMPTIONS'!A:A,0)))</f>
        <v>0</v>
      </c>
      <c r="K157">
        <f>IF(OR(A157="",L157&lt;&gt;TRUE),0,I157*J157)</f>
        <v>0</v>
      </c>
      <c r="L157" t="b">
        <f>IF(A157="","",AND('03_EXECUTION_LOG'!F157="success",INDEX('02_TASK_CATALOG'!J:J,MATCH(C157,'02_TASK_CATALOG'!A:A,0))=TRUE,H157&gt;0,J157&gt;0,'03_EXECUTION_LOG'!J157&lt;&gt;""))</f>
        <v>0</v>
      </c>
      <c r="M157" t="str">
        <f>IF(A157="","",IF('03_EXECUTION_LOG'!F157&lt;&gt;"success","non-success status",IF(INDEX('02_TASK_CATALOG'!J:J,MATCH(C157,'02_TASK_CATALOG'!A:A,0))&lt;&gt;TRUE,"task not approved",IF(H157&lt;=0,"no net time saved",IF(J157&lt;=0,"missing labor rate",IF('03_EXECUTION_LOG'!J157="","missing evidence",""))))))</f>
        <v/>
      </c>
      <c r="N157" t="str">
        <f>IF(A157="","",IF(AND(L157=TRUE,'03_EXECUTION_LOG'!I157=FALSE),"high",IF(AND(L157=TRUE,'03_EXECUTION_LOG'!I157=TRUE),"medium","low")))</f>
        <v/>
      </c>
      <c r="O157" t="str">
        <f>IF(A157="","",IF(AND(L157=TRUE,'03_EXECUTION_LOG'!J157&lt;&gt;""),"yes","needs-review"))</f>
        <v/>
      </c>
    </row>
    <row r="158">
      <c r="A158" t="str">
        <f>IF('03_EXECUTION_LOG'!A158="","",'03_EXECUTION_LOG'!A158)</f>
        <v/>
      </c>
      <c r="B158" t="str">
        <f>IF('03_EXECUTION_LOG'!B158="","",LEFT('03_EXECUTION_LOG'!B158,7))</f>
        <v/>
      </c>
      <c r="C158" t="str">
        <f>IF('03_EXECUTION_LOG'!E158="","",'03_EXECUTION_LOG'!E158)</f>
        <v/>
      </c>
      <c r="D158" t="str">
        <f>IF(C158="","",INDEX('02_TASK_CATALOG'!E:E,MATCH(C158,'02_TASK_CATALOG'!A:A,0)))</f>
        <v/>
      </c>
      <c r="E158">
        <f>IF(C158="","",INDEX('02_TASK_CATALOG'!F:F,MATCH(C158,'02_TASK_CATALOG'!A:A,0)))</f>
        <v>0</v>
      </c>
      <c r="F158">
        <f>IF(C158="","",INDEX('02_TASK_CATALOG'!G:G,MATCH(C158,'02_TASK_CATALOG'!A:A,0)))</f>
        <v>0</v>
      </c>
      <c r="G158">
        <f>IF(C158="","",INDEX('02_TASK_CATALOG'!H:H,MATCH(C158,'02_TASK_CATALOG'!A:A,0)))</f>
        <v>0</v>
      </c>
      <c r="H158">
        <f>IF(A158="","",MAX(0,E158-F158-G158))</f>
        <v>0</v>
      </c>
      <c r="I158">
        <f>IF(A158="","",H158*IF('03_EXECUTION_LOG'!H158="",1,'03_EXECUTION_LOG'!H158)/60)</f>
        <v>0</v>
      </c>
      <c r="J158">
        <f>IF(D158="","",INDEX('01_ASSUMPTIONS'!C:C,MATCH(D158,'01_ASSUMPTIONS'!A:A,0)))</f>
        <v>0</v>
      </c>
      <c r="K158">
        <f>IF(OR(A158="",L158&lt;&gt;TRUE),0,I158*J158)</f>
        <v>0</v>
      </c>
      <c r="L158" t="b">
        <f>IF(A158="","",AND('03_EXECUTION_LOG'!F158="success",INDEX('02_TASK_CATALOG'!J:J,MATCH(C158,'02_TASK_CATALOG'!A:A,0))=TRUE,H158&gt;0,J158&gt;0,'03_EXECUTION_LOG'!J158&lt;&gt;""))</f>
        <v>0</v>
      </c>
      <c r="M158" t="str">
        <f>IF(A158="","",IF('03_EXECUTION_LOG'!F158&lt;&gt;"success","non-success status",IF(INDEX('02_TASK_CATALOG'!J:J,MATCH(C158,'02_TASK_CATALOG'!A:A,0))&lt;&gt;TRUE,"task not approved",IF(H158&lt;=0,"no net time saved",IF(J158&lt;=0,"missing labor rate",IF('03_EXECUTION_LOG'!J158="","missing evidence",""))))))</f>
        <v/>
      </c>
      <c r="N158" t="str">
        <f>IF(A158="","",IF(AND(L158=TRUE,'03_EXECUTION_LOG'!I158=FALSE),"high",IF(AND(L158=TRUE,'03_EXECUTION_LOG'!I158=TRUE),"medium","low")))</f>
        <v/>
      </c>
      <c r="O158" t="str">
        <f>IF(A158="","",IF(AND(L158=TRUE,'03_EXECUTION_LOG'!J158&lt;&gt;""),"yes","needs-review"))</f>
        <v/>
      </c>
    </row>
    <row r="159">
      <c r="A159" t="str">
        <f>IF('03_EXECUTION_LOG'!A159="","",'03_EXECUTION_LOG'!A159)</f>
        <v/>
      </c>
      <c r="B159" t="str">
        <f>IF('03_EXECUTION_LOG'!B159="","",LEFT('03_EXECUTION_LOG'!B159,7))</f>
        <v/>
      </c>
      <c r="C159" t="str">
        <f>IF('03_EXECUTION_LOG'!E159="","",'03_EXECUTION_LOG'!E159)</f>
        <v/>
      </c>
      <c r="D159" t="str">
        <f>IF(C159="","",INDEX('02_TASK_CATALOG'!E:E,MATCH(C159,'02_TASK_CATALOG'!A:A,0)))</f>
        <v/>
      </c>
      <c r="E159">
        <f>IF(C159="","",INDEX('02_TASK_CATALOG'!F:F,MATCH(C159,'02_TASK_CATALOG'!A:A,0)))</f>
        <v>0</v>
      </c>
      <c r="F159">
        <f>IF(C159="","",INDEX('02_TASK_CATALOG'!G:G,MATCH(C159,'02_TASK_CATALOG'!A:A,0)))</f>
        <v>0</v>
      </c>
      <c r="G159">
        <f>IF(C159="","",INDEX('02_TASK_CATALOG'!H:H,MATCH(C159,'02_TASK_CATALOG'!A:A,0)))</f>
        <v>0</v>
      </c>
      <c r="H159">
        <f>IF(A159="","",MAX(0,E159-F159-G159))</f>
        <v>0</v>
      </c>
      <c r="I159">
        <f>IF(A159="","",H159*IF('03_EXECUTION_LOG'!H159="",1,'03_EXECUTION_LOG'!H159)/60)</f>
        <v>0</v>
      </c>
      <c r="J159">
        <f>IF(D159="","",INDEX('01_ASSUMPTIONS'!C:C,MATCH(D159,'01_ASSUMPTIONS'!A:A,0)))</f>
        <v>0</v>
      </c>
      <c r="K159">
        <f>IF(OR(A159="",L159&lt;&gt;TRUE),0,I159*J159)</f>
        <v>0</v>
      </c>
      <c r="L159" t="b">
        <f>IF(A159="","",AND('03_EXECUTION_LOG'!F159="success",INDEX('02_TASK_CATALOG'!J:J,MATCH(C159,'02_TASK_CATALOG'!A:A,0))=TRUE,H159&gt;0,J159&gt;0,'03_EXECUTION_LOG'!J159&lt;&gt;""))</f>
        <v>0</v>
      </c>
      <c r="M159" t="str">
        <f>IF(A159="","",IF('03_EXECUTION_LOG'!F159&lt;&gt;"success","non-success status",IF(INDEX('02_TASK_CATALOG'!J:J,MATCH(C159,'02_TASK_CATALOG'!A:A,0))&lt;&gt;TRUE,"task not approved",IF(H159&lt;=0,"no net time saved",IF(J159&lt;=0,"missing labor rate",IF('03_EXECUTION_LOG'!J159="","missing evidence",""))))))</f>
        <v/>
      </c>
      <c r="N159" t="str">
        <f>IF(A159="","",IF(AND(L159=TRUE,'03_EXECUTION_LOG'!I159=FALSE),"high",IF(AND(L159=TRUE,'03_EXECUTION_LOG'!I159=TRUE),"medium","low")))</f>
        <v/>
      </c>
      <c r="O159" t="str">
        <f>IF(A159="","",IF(AND(L159=TRUE,'03_EXECUTION_LOG'!J159&lt;&gt;""),"yes","needs-review"))</f>
        <v/>
      </c>
    </row>
    <row r="160">
      <c r="A160" t="str">
        <f>IF('03_EXECUTION_LOG'!A160="","",'03_EXECUTION_LOG'!A160)</f>
        <v/>
      </c>
      <c r="B160" t="str">
        <f>IF('03_EXECUTION_LOG'!B160="","",LEFT('03_EXECUTION_LOG'!B160,7))</f>
        <v/>
      </c>
      <c r="C160" t="str">
        <f>IF('03_EXECUTION_LOG'!E160="","",'03_EXECUTION_LOG'!E160)</f>
        <v/>
      </c>
      <c r="D160" t="str">
        <f>IF(C160="","",INDEX('02_TASK_CATALOG'!E:E,MATCH(C160,'02_TASK_CATALOG'!A:A,0)))</f>
        <v/>
      </c>
      <c r="E160">
        <f>IF(C160="","",INDEX('02_TASK_CATALOG'!F:F,MATCH(C160,'02_TASK_CATALOG'!A:A,0)))</f>
        <v>0</v>
      </c>
      <c r="F160">
        <f>IF(C160="","",INDEX('02_TASK_CATALOG'!G:G,MATCH(C160,'02_TASK_CATALOG'!A:A,0)))</f>
        <v>0</v>
      </c>
      <c r="G160">
        <f>IF(C160="","",INDEX('02_TASK_CATALOG'!H:H,MATCH(C160,'02_TASK_CATALOG'!A:A,0)))</f>
        <v>0</v>
      </c>
      <c r="H160">
        <f>IF(A160="","",MAX(0,E160-F160-G160))</f>
        <v>0</v>
      </c>
      <c r="I160">
        <f>IF(A160="","",H160*IF('03_EXECUTION_LOG'!H160="",1,'03_EXECUTION_LOG'!H160)/60)</f>
        <v>0</v>
      </c>
      <c r="J160">
        <f>IF(D160="","",INDEX('01_ASSUMPTIONS'!C:C,MATCH(D160,'01_ASSUMPTIONS'!A:A,0)))</f>
        <v>0</v>
      </c>
      <c r="K160">
        <f>IF(OR(A160="",L160&lt;&gt;TRUE),0,I160*J160)</f>
        <v>0</v>
      </c>
      <c r="L160" t="b">
        <f>IF(A160="","",AND('03_EXECUTION_LOG'!F160="success",INDEX('02_TASK_CATALOG'!J:J,MATCH(C160,'02_TASK_CATALOG'!A:A,0))=TRUE,H160&gt;0,J160&gt;0,'03_EXECUTION_LOG'!J160&lt;&gt;""))</f>
        <v>0</v>
      </c>
      <c r="M160" t="str">
        <f>IF(A160="","",IF('03_EXECUTION_LOG'!F160&lt;&gt;"success","non-success status",IF(INDEX('02_TASK_CATALOG'!J:J,MATCH(C160,'02_TASK_CATALOG'!A:A,0))&lt;&gt;TRUE,"task not approved",IF(H160&lt;=0,"no net time saved",IF(J160&lt;=0,"missing labor rate",IF('03_EXECUTION_LOG'!J160="","missing evidence",""))))))</f>
        <v/>
      </c>
      <c r="N160" t="str">
        <f>IF(A160="","",IF(AND(L160=TRUE,'03_EXECUTION_LOG'!I160=FALSE),"high",IF(AND(L160=TRUE,'03_EXECUTION_LOG'!I160=TRUE),"medium","low")))</f>
        <v/>
      </c>
      <c r="O160" t="str">
        <f>IF(A160="","",IF(AND(L160=TRUE,'03_EXECUTION_LOG'!J160&lt;&gt;""),"yes","needs-review"))</f>
        <v/>
      </c>
    </row>
    <row r="161">
      <c r="A161" t="str">
        <f>IF('03_EXECUTION_LOG'!A161="","",'03_EXECUTION_LOG'!A161)</f>
        <v/>
      </c>
      <c r="B161" t="str">
        <f>IF('03_EXECUTION_LOG'!B161="","",LEFT('03_EXECUTION_LOG'!B161,7))</f>
        <v/>
      </c>
      <c r="C161" t="str">
        <f>IF('03_EXECUTION_LOG'!E161="","",'03_EXECUTION_LOG'!E161)</f>
        <v/>
      </c>
      <c r="D161" t="str">
        <f>IF(C161="","",INDEX('02_TASK_CATALOG'!E:E,MATCH(C161,'02_TASK_CATALOG'!A:A,0)))</f>
        <v/>
      </c>
      <c r="E161">
        <f>IF(C161="","",INDEX('02_TASK_CATALOG'!F:F,MATCH(C161,'02_TASK_CATALOG'!A:A,0)))</f>
        <v>0</v>
      </c>
      <c r="F161">
        <f>IF(C161="","",INDEX('02_TASK_CATALOG'!G:G,MATCH(C161,'02_TASK_CATALOG'!A:A,0)))</f>
        <v>0</v>
      </c>
      <c r="G161">
        <f>IF(C161="","",INDEX('02_TASK_CATALOG'!H:H,MATCH(C161,'02_TASK_CATALOG'!A:A,0)))</f>
        <v>0</v>
      </c>
      <c r="H161">
        <f>IF(A161="","",MAX(0,E161-F161-G161))</f>
        <v>0</v>
      </c>
      <c r="I161">
        <f>IF(A161="","",H161*IF('03_EXECUTION_LOG'!H161="",1,'03_EXECUTION_LOG'!H161)/60)</f>
        <v>0</v>
      </c>
      <c r="J161">
        <f>IF(D161="","",INDEX('01_ASSUMPTIONS'!C:C,MATCH(D161,'01_ASSUMPTIONS'!A:A,0)))</f>
        <v>0</v>
      </c>
      <c r="K161">
        <f>IF(OR(A161="",L161&lt;&gt;TRUE),0,I161*J161)</f>
        <v>0</v>
      </c>
      <c r="L161" t="b">
        <f>IF(A161="","",AND('03_EXECUTION_LOG'!F161="success",INDEX('02_TASK_CATALOG'!J:J,MATCH(C161,'02_TASK_CATALOG'!A:A,0))=TRUE,H161&gt;0,J161&gt;0,'03_EXECUTION_LOG'!J161&lt;&gt;""))</f>
        <v>0</v>
      </c>
      <c r="M161" t="str">
        <f>IF(A161="","",IF('03_EXECUTION_LOG'!F161&lt;&gt;"success","non-success status",IF(INDEX('02_TASK_CATALOG'!J:J,MATCH(C161,'02_TASK_CATALOG'!A:A,0))&lt;&gt;TRUE,"task not approved",IF(H161&lt;=0,"no net time saved",IF(J161&lt;=0,"missing labor rate",IF('03_EXECUTION_LOG'!J161="","missing evidence",""))))))</f>
        <v/>
      </c>
      <c r="N161" t="str">
        <f>IF(A161="","",IF(AND(L161=TRUE,'03_EXECUTION_LOG'!I161=FALSE),"high",IF(AND(L161=TRUE,'03_EXECUTION_LOG'!I161=TRUE),"medium","low")))</f>
        <v/>
      </c>
      <c r="O161" t="str">
        <f>IF(A161="","",IF(AND(L161=TRUE,'03_EXECUTION_LOG'!J161&lt;&gt;""),"yes","needs-review"))</f>
        <v/>
      </c>
    </row>
    <row r="162">
      <c r="A162" t="str">
        <f>IF('03_EXECUTION_LOG'!A162="","",'03_EXECUTION_LOG'!A162)</f>
        <v/>
      </c>
      <c r="B162" t="str">
        <f>IF('03_EXECUTION_LOG'!B162="","",LEFT('03_EXECUTION_LOG'!B162,7))</f>
        <v/>
      </c>
      <c r="C162" t="str">
        <f>IF('03_EXECUTION_LOG'!E162="","",'03_EXECUTION_LOG'!E162)</f>
        <v/>
      </c>
      <c r="D162" t="str">
        <f>IF(C162="","",INDEX('02_TASK_CATALOG'!E:E,MATCH(C162,'02_TASK_CATALOG'!A:A,0)))</f>
        <v/>
      </c>
      <c r="E162">
        <f>IF(C162="","",INDEX('02_TASK_CATALOG'!F:F,MATCH(C162,'02_TASK_CATALOG'!A:A,0)))</f>
        <v>0</v>
      </c>
      <c r="F162">
        <f>IF(C162="","",INDEX('02_TASK_CATALOG'!G:G,MATCH(C162,'02_TASK_CATALOG'!A:A,0)))</f>
        <v>0</v>
      </c>
      <c r="G162">
        <f>IF(C162="","",INDEX('02_TASK_CATALOG'!H:H,MATCH(C162,'02_TASK_CATALOG'!A:A,0)))</f>
        <v>0</v>
      </c>
      <c r="H162">
        <f>IF(A162="","",MAX(0,E162-F162-G162))</f>
        <v>0</v>
      </c>
      <c r="I162">
        <f>IF(A162="","",H162*IF('03_EXECUTION_LOG'!H162="",1,'03_EXECUTION_LOG'!H162)/60)</f>
        <v>0</v>
      </c>
      <c r="J162">
        <f>IF(D162="","",INDEX('01_ASSUMPTIONS'!C:C,MATCH(D162,'01_ASSUMPTIONS'!A:A,0)))</f>
        <v>0</v>
      </c>
      <c r="K162">
        <f>IF(OR(A162="",L162&lt;&gt;TRUE),0,I162*J162)</f>
        <v>0</v>
      </c>
      <c r="L162" t="b">
        <f>IF(A162="","",AND('03_EXECUTION_LOG'!F162="success",INDEX('02_TASK_CATALOG'!J:J,MATCH(C162,'02_TASK_CATALOG'!A:A,0))=TRUE,H162&gt;0,J162&gt;0,'03_EXECUTION_LOG'!J162&lt;&gt;""))</f>
        <v>0</v>
      </c>
      <c r="M162" t="str">
        <f>IF(A162="","",IF('03_EXECUTION_LOG'!F162&lt;&gt;"success","non-success status",IF(INDEX('02_TASK_CATALOG'!J:J,MATCH(C162,'02_TASK_CATALOG'!A:A,0))&lt;&gt;TRUE,"task not approved",IF(H162&lt;=0,"no net time saved",IF(J162&lt;=0,"missing labor rate",IF('03_EXECUTION_LOG'!J162="","missing evidence",""))))))</f>
        <v/>
      </c>
      <c r="N162" t="str">
        <f>IF(A162="","",IF(AND(L162=TRUE,'03_EXECUTION_LOG'!I162=FALSE),"high",IF(AND(L162=TRUE,'03_EXECUTION_LOG'!I162=TRUE),"medium","low")))</f>
        <v/>
      </c>
      <c r="O162" t="str">
        <f>IF(A162="","",IF(AND(L162=TRUE,'03_EXECUTION_LOG'!J162&lt;&gt;""),"yes","needs-review"))</f>
        <v/>
      </c>
    </row>
    <row r="163">
      <c r="A163" t="str">
        <f>IF('03_EXECUTION_LOG'!A163="","",'03_EXECUTION_LOG'!A163)</f>
        <v/>
      </c>
      <c r="B163" t="str">
        <f>IF('03_EXECUTION_LOG'!B163="","",LEFT('03_EXECUTION_LOG'!B163,7))</f>
        <v/>
      </c>
      <c r="C163" t="str">
        <f>IF('03_EXECUTION_LOG'!E163="","",'03_EXECUTION_LOG'!E163)</f>
        <v/>
      </c>
      <c r="D163" t="str">
        <f>IF(C163="","",INDEX('02_TASK_CATALOG'!E:E,MATCH(C163,'02_TASK_CATALOG'!A:A,0)))</f>
        <v/>
      </c>
      <c r="E163">
        <f>IF(C163="","",INDEX('02_TASK_CATALOG'!F:F,MATCH(C163,'02_TASK_CATALOG'!A:A,0)))</f>
        <v>0</v>
      </c>
      <c r="F163">
        <f>IF(C163="","",INDEX('02_TASK_CATALOG'!G:G,MATCH(C163,'02_TASK_CATALOG'!A:A,0)))</f>
        <v>0</v>
      </c>
      <c r="G163">
        <f>IF(C163="","",INDEX('02_TASK_CATALOG'!H:H,MATCH(C163,'02_TASK_CATALOG'!A:A,0)))</f>
        <v>0</v>
      </c>
      <c r="H163">
        <f>IF(A163="","",MAX(0,E163-F163-G163))</f>
        <v>0</v>
      </c>
      <c r="I163">
        <f>IF(A163="","",H163*IF('03_EXECUTION_LOG'!H163="",1,'03_EXECUTION_LOG'!H163)/60)</f>
        <v>0</v>
      </c>
      <c r="J163">
        <f>IF(D163="","",INDEX('01_ASSUMPTIONS'!C:C,MATCH(D163,'01_ASSUMPTIONS'!A:A,0)))</f>
        <v>0</v>
      </c>
      <c r="K163">
        <f>IF(OR(A163="",L163&lt;&gt;TRUE),0,I163*J163)</f>
        <v>0</v>
      </c>
      <c r="L163" t="b">
        <f>IF(A163="","",AND('03_EXECUTION_LOG'!F163="success",INDEX('02_TASK_CATALOG'!J:J,MATCH(C163,'02_TASK_CATALOG'!A:A,0))=TRUE,H163&gt;0,J163&gt;0,'03_EXECUTION_LOG'!J163&lt;&gt;""))</f>
        <v>0</v>
      </c>
      <c r="M163" t="str">
        <f>IF(A163="","",IF('03_EXECUTION_LOG'!F163&lt;&gt;"success","non-success status",IF(INDEX('02_TASK_CATALOG'!J:J,MATCH(C163,'02_TASK_CATALOG'!A:A,0))&lt;&gt;TRUE,"task not approved",IF(H163&lt;=0,"no net time saved",IF(J163&lt;=0,"missing labor rate",IF('03_EXECUTION_LOG'!J163="","missing evidence",""))))))</f>
        <v/>
      </c>
      <c r="N163" t="str">
        <f>IF(A163="","",IF(AND(L163=TRUE,'03_EXECUTION_LOG'!I163=FALSE),"high",IF(AND(L163=TRUE,'03_EXECUTION_LOG'!I163=TRUE),"medium","low")))</f>
        <v/>
      </c>
      <c r="O163" t="str">
        <f>IF(A163="","",IF(AND(L163=TRUE,'03_EXECUTION_LOG'!J163&lt;&gt;""),"yes","needs-review"))</f>
        <v/>
      </c>
    </row>
    <row r="164">
      <c r="A164" t="str">
        <f>IF('03_EXECUTION_LOG'!A164="","",'03_EXECUTION_LOG'!A164)</f>
        <v/>
      </c>
      <c r="B164" t="str">
        <f>IF('03_EXECUTION_LOG'!B164="","",LEFT('03_EXECUTION_LOG'!B164,7))</f>
        <v/>
      </c>
      <c r="C164" t="str">
        <f>IF('03_EXECUTION_LOG'!E164="","",'03_EXECUTION_LOG'!E164)</f>
        <v/>
      </c>
      <c r="D164" t="str">
        <f>IF(C164="","",INDEX('02_TASK_CATALOG'!E:E,MATCH(C164,'02_TASK_CATALOG'!A:A,0)))</f>
        <v/>
      </c>
      <c r="E164">
        <f>IF(C164="","",INDEX('02_TASK_CATALOG'!F:F,MATCH(C164,'02_TASK_CATALOG'!A:A,0)))</f>
        <v>0</v>
      </c>
      <c r="F164">
        <f>IF(C164="","",INDEX('02_TASK_CATALOG'!G:G,MATCH(C164,'02_TASK_CATALOG'!A:A,0)))</f>
        <v>0</v>
      </c>
      <c r="G164">
        <f>IF(C164="","",INDEX('02_TASK_CATALOG'!H:H,MATCH(C164,'02_TASK_CATALOG'!A:A,0)))</f>
        <v>0</v>
      </c>
      <c r="H164">
        <f>IF(A164="","",MAX(0,E164-F164-G164))</f>
        <v>0</v>
      </c>
      <c r="I164">
        <f>IF(A164="","",H164*IF('03_EXECUTION_LOG'!H164="",1,'03_EXECUTION_LOG'!H164)/60)</f>
        <v>0</v>
      </c>
      <c r="J164">
        <f>IF(D164="","",INDEX('01_ASSUMPTIONS'!C:C,MATCH(D164,'01_ASSUMPTIONS'!A:A,0)))</f>
        <v>0</v>
      </c>
      <c r="K164">
        <f>IF(OR(A164="",L164&lt;&gt;TRUE),0,I164*J164)</f>
        <v>0</v>
      </c>
      <c r="L164" t="b">
        <f>IF(A164="","",AND('03_EXECUTION_LOG'!F164="success",INDEX('02_TASK_CATALOG'!J:J,MATCH(C164,'02_TASK_CATALOG'!A:A,0))=TRUE,H164&gt;0,J164&gt;0,'03_EXECUTION_LOG'!J164&lt;&gt;""))</f>
        <v>0</v>
      </c>
      <c r="M164" t="str">
        <f>IF(A164="","",IF('03_EXECUTION_LOG'!F164&lt;&gt;"success","non-success status",IF(INDEX('02_TASK_CATALOG'!J:J,MATCH(C164,'02_TASK_CATALOG'!A:A,0))&lt;&gt;TRUE,"task not approved",IF(H164&lt;=0,"no net time saved",IF(J164&lt;=0,"missing labor rate",IF('03_EXECUTION_LOG'!J164="","missing evidence",""))))))</f>
        <v/>
      </c>
      <c r="N164" t="str">
        <f>IF(A164="","",IF(AND(L164=TRUE,'03_EXECUTION_LOG'!I164=FALSE),"high",IF(AND(L164=TRUE,'03_EXECUTION_LOG'!I164=TRUE),"medium","low")))</f>
        <v/>
      </c>
      <c r="O164" t="str">
        <f>IF(A164="","",IF(AND(L164=TRUE,'03_EXECUTION_LOG'!J164&lt;&gt;""),"yes","needs-review"))</f>
        <v/>
      </c>
    </row>
    <row r="165">
      <c r="A165" t="str">
        <f>IF('03_EXECUTION_LOG'!A165="","",'03_EXECUTION_LOG'!A165)</f>
        <v/>
      </c>
      <c r="B165" t="str">
        <f>IF('03_EXECUTION_LOG'!B165="","",LEFT('03_EXECUTION_LOG'!B165,7))</f>
        <v/>
      </c>
      <c r="C165" t="str">
        <f>IF('03_EXECUTION_LOG'!E165="","",'03_EXECUTION_LOG'!E165)</f>
        <v/>
      </c>
      <c r="D165" t="str">
        <f>IF(C165="","",INDEX('02_TASK_CATALOG'!E:E,MATCH(C165,'02_TASK_CATALOG'!A:A,0)))</f>
        <v/>
      </c>
      <c r="E165">
        <f>IF(C165="","",INDEX('02_TASK_CATALOG'!F:F,MATCH(C165,'02_TASK_CATALOG'!A:A,0)))</f>
        <v>0</v>
      </c>
      <c r="F165">
        <f>IF(C165="","",INDEX('02_TASK_CATALOG'!G:G,MATCH(C165,'02_TASK_CATALOG'!A:A,0)))</f>
        <v>0</v>
      </c>
      <c r="G165">
        <f>IF(C165="","",INDEX('02_TASK_CATALOG'!H:H,MATCH(C165,'02_TASK_CATALOG'!A:A,0)))</f>
        <v>0</v>
      </c>
      <c r="H165">
        <f>IF(A165="","",MAX(0,E165-F165-G165))</f>
        <v>0</v>
      </c>
      <c r="I165">
        <f>IF(A165="","",H165*IF('03_EXECUTION_LOG'!H165="",1,'03_EXECUTION_LOG'!H165)/60)</f>
        <v>0</v>
      </c>
      <c r="J165">
        <f>IF(D165="","",INDEX('01_ASSUMPTIONS'!C:C,MATCH(D165,'01_ASSUMPTIONS'!A:A,0)))</f>
        <v>0</v>
      </c>
      <c r="K165">
        <f>IF(OR(A165="",L165&lt;&gt;TRUE),0,I165*J165)</f>
        <v>0</v>
      </c>
      <c r="L165" t="b">
        <f>IF(A165="","",AND('03_EXECUTION_LOG'!F165="success",INDEX('02_TASK_CATALOG'!J:J,MATCH(C165,'02_TASK_CATALOG'!A:A,0))=TRUE,H165&gt;0,J165&gt;0,'03_EXECUTION_LOG'!J165&lt;&gt;""))</f>
        <v>0</v>
      </c>
      <c r="M165" t="str">
        <f>IF(A165="","",IF('03_EXECUTION_LOG'!F165&lt;&gt;"success","non-success status",IF(INDEX('02_TASK_CATALOG'!J:J,MATCH(C165,'02_TASK_CATALOG'!A:A,0))&lt;&gt;TRUE,"task not approved",IF(H165&lt;=0,"no net time saved",IF(J165&lt;=0,"missing labor rate",IF('03_EXECUTION_LOG'!J165="","missing evidence",""))))))</f>
        <v/>
      </c>
      <c r="N165" t="str">
        <f>IF(A165="","",IF(AND(L165=TRUE,'03_EXECUTION_LOG'!I165=FALSE),"high",IF(AND(L165=TRUE,'03_EXECUTION_LOG'!I165=TRUE),"medium","low")))</f>
        <v/>
      </c>
      <c r="O165" t="str">
        <f>IF(A165="","",IF(AND(L165=TRUE,'03_EXECUTION_LOG'!J165&lt;&gt;""),"yes","needs-review"))</f>
        <v/>
      </c>
    </row>
    <row r="166">
      <c r="A166" t="str">
        <f>IF('03_EXECUTION_LOG'!A166="","",'03_EXECUTION_LOG'!A166)</f>
        <v/>
      </c>
      <c r="B166" t="str">
        <f>IF('03_EXECUTION_LOG'!B166="","",LEFT('03_EXECUTION_LOG'!B166,7))</f>
        <v/>
      </c>
      <c r="C166" t="str">
        <f>IF('03_EXECUTION_LOG'!E166="","",'03_EXECUTION_LOG'!E166)</f>
        <v/>
      </c>
      <c r="D166" t="str">
        <f>IF(C166="","",INDEX('02_TASK_CATALOG'!E:E,MATCH(C166,'02_TASK_CATALOG'!A:A,0)))</f>
        <v/>
      </c>
      <c r="E166">
        <f>IF(C166="","",INDEX('02_TASK_CATALOG'!F:F,MATCH(C166,'02_TASK_CATALOG'!A:A,0)))</f>
        <v>0</v>
      </c>
      <c r="F166">
        <f>IF(C166="","",INDEX('02_TASK_CATALOG'!G:G,MATCH(C166,'02_TASK_CATALOG'!A:A,0)))</f>
        <v>0</v>
      </c>
      <c r="G166">
        <f>IF(C166="","",INDEX('02_TASK_CATALOG'!H:H,MATCH(C166,'02_TASK_CATALOG'!A:A,0)))</f>
        <v>0</v>
      </c>
      <c r="H166">
        <f>IF(A166="","",MAX(0,E166-F166-G166))</f>
        <v>0</v>
      </c>
      <c r="I166">
        <f>IF(A166="","",H166*IF('03_EXECUTION_LOG'!H166="",1,'03_EXECUTION_LOG'!H166)/60)</f>
        <v>0</v>
      </c>
      <c r="J166">
        <f>IF(D166="","",INDEX('01_ASSUMPTIONS'!C:C,MATCH(D166,'01_ASSUMPTIONS'!A:A,0)))</f>
        <v>0</v>
      </c>
      <c r="K166">
        <f>IF(OR(A166="",L166&lt;&gt;TRUE),0,I166*J166)</f>
        <v>0</v>
      </c>
      <c r="L166" t="b">
        <f>IF(A166="","",AND('03_EXECUTION_LOG'!F166="success",INDEX('02_TASK_CATALOG'!J:J,MATCH(C166,'02_TASK_CATALOG'!A:A,0))=TRUE,H166&gt;0,J166&gt;0,'03_EXECUTION_LOG'!J166&lt;&gt;""))</f>
        <v>0</v>
      </c>
      <c r="M166" t="str">
        <f>IF(A166="","",IF('03_EXECUTION_LOG'!F166&lt;&gt;"success","non-success status",IF(INDEX('02_TASK_CATALOG'!J:J,MATCH(C166,'02_TASK_CATALOG'!A:A,0))&lt;&gt;TRUE,"task not approved",IF(H166&lt;=0,"no net time saved",IF(J166&lt;=0,"missing labor rate",IF('03_EXECUTION_LOG'!J166="","missing evidence",""))))))</f>
        <v/>
      </c>
      <c r="N166" t="str">
        <f>IF(A166="","",IF(AND(L166=TRUE,'03_EXECUTION_LOG'!I166=FALSE),"high",IF(AND(L166=TRUE,'03_EXECUTION_LOG'!I166=TRUE),"medium","low")))</f>
        <v/>
      </c>
      <c r="O166" t="str">
        <f>IF(A166="","",IF(AND(L166=TRUE,'03_EXECUTION_LOG'!J166&lt;&gt;""),"yes","needs-review"))</f>
        <v/>
      </c>
    </row>
    <row r="167">
      <c r="A167" t="str">
        <f>IF('03_EXECUTION_LOG'!A167="","",'03_EXECUTION_LOG'!A167)</f>
        <v/>
      </c>
      <c r="B167" t="str">
        <f>IF('03_EXECUTION_LOG'!B167="","",LEFT('03_EXECUTION_LOG'!B167,7))</f>
        <v/>
      </c>
      <c r="C167" t="str">
        <f>IF('03_EXECUTION_LOG'!E167="","",'03_EXECUTION_LOG'!E167)</f>
        <v/>
      </c>
      <c r="D167" t="str">
        <f>IF(C167="","",INDEX('02_TASK_CATALOG'!E:E,MATCH(C167,'02_TASK_CATALOG'!A:A,0)))</f>
        <v/>
      </c>
      <c r="E167">
        <f>IF(C167="","",INDEX('02_TASK_CATALOG'!F:F,MATCH(C167,'02_TASK_CATALOG'!A:A,0)))</f>
        <v>0</v>
      </c>
      <c r="F167">
        <f>IF(C167="","",INDEX('02_TASK_CATALOG'!G:G,MATCH(C167,'02_TASK_CATALOG'!A:A,0)))</f>
        <v>0</v>
      </c>
      <c r="G167">
        <f>IF(C167="","",INDEX('02_TASK_CATALOG'!H:H,MATCH(C167,'02_TASK_CATALOG'!A:A,0)))</f>
        <v>0</v>
      </c>
      <c r="H167">
        <f>IF(A167="","",MAX(0,E167-F167-G167))</f>
        <v>0</v>
      </c>
      <c r="I167">
        <f>IF(A167="","",H167*IF('03_EXECUTION_LOG'!H167="",1,'03_EXECUTION_LOG'!H167)/60)</f>
        <v>0</v>
      </c>
      <c r="J167">
        <f>IF(D167="","",INDEX('01_ASSUMPTIONS'!C:C,MATCH(D167,'01_ASSUMPTIONS'!A:A,0)))</f>
        <v>0</v>
      </c>
      <c r="K167">
        <f>IF(OR(A167="",L167&lt;&gt;TRUE),0,I167*J167)</f>
        <v>0</v>
      </c>
      <c r="L167" t="b">
        <f>IF(A167="","",AND('03_EXECUTION_LOG'!F167="success",INDEX('02_TASK_CATALOG'!J:J,MATCH(C167,'02_TASK_CATALOG'!A:A,0))=TRUE,H167&gt;0,J167&gt;0,'03_EXECUTION_LOG'!J167&lt;&gt;""))</f>
        <v>0</v>
      </c>
      <c r="M167" t="str">
        <f>IF(A167="","",IF('03_EXECUTION_LOG'!F167&lt;&gt;"success","non-success status",IF(INDEX('02_TASK_CATALOG'!J:J,MATCH(C167,'02_TASK_CATALOG'!A:A,0))&lt;&gt;TRUE,"task not approved",IF(H167&lt;=0,"no net time saved",IF(J167&lt;=0,"missing labor rate",IF('03_EXECUTION_LOG'!J167="","missing evidence",""))))))</f>
        <v/>
      </c>
      <c r="N167" t="str">
        <f>IF(A167="","",IF(AND(L167=TRUE,'03_EXECUTION_LOG'!I167=FALSE),"high",IF(AND(L167=TRUE,'03_EXECUTION_LOG'!I167=TRUE),"medium","low")))</f>
        <v/>
      </c>
      <c r="O167" t="str">
        <f>IF(A167="","",IF(AND(L167=TRUE,'03_EXECUTION_LOG'!J167&lt;&gt;""),"yes","needs-review"))</f>
        <v/>
      </c>
    </row>
    <row r="168">
      <c r="A168" t="str">
        <f>IF('03_EXECUTION_LOG'!A168="","",'03_EXECUTION_LOG'!A168)</f>
        <v/>
      </c>
      <c r="B168" t="str">
        <f>IF('03_EXECUTION_LOG'!B168="","",LEFT('03_EXECUTION_LOG'!B168,7))</f>
        <v/>
      </c>
      <c r="C168" t="str">
        <f>IF('03_EXECUTION_LOG'!E168="","",'03_EXECUTION_LOG'!E168)</f>
        <v/>
      </c>
      <c r="D168" t="str">
        <f>IF(C168="","",INDEX('02_TASK_CATALOG'!E:E,MATCH(C168,'02_TASK_CATALOG'!A:A,0)))</f>
        <v/>
      </c>
      <c r="E168">
        <f>IF(C168="","",INDEX('02_TASK_CATALOG'!F:F,MATCH(C168,'02_TASK_CATALOG'!A:A,0)))</f>
        <v>0</v>
      </c>
      <c r="F168">
        <f>IF(C168="","",INDEX('02_TASK_CATALOG'!G:G,MATCH(C168,'02_TASK_CATALOG'!A:A,0)))</f>
        <v>0</v>
      </c>
      <c r="G168">
        <f>IF(C168="","",INDEX('02_TASK_CATALOG'!H:H,MATCH(C168,'02_TASK_CATALOG'!A:A,0)))</f>
        <v>0</v>
      </c>
      <c r="H168">
        <f>IF(A168="","",MAX(0,E168-F168-G168))</f>
        <v>0</v>
      </c>
      <c r="I168">
        <f>IF(A168="","",H168*IF('03_EXECUTION_LOG'!H168="",1,'03_EXECUTION_LOG'!H168)/60)</f>
        <v>0</v>
      </c>
      <c r="J168">
        <f>IF(D168="","",INDEX('01_ASSUMPTIONS'!C:C,MATCH(D168,'01_ASSUMPTIONS'!A:A,0)))</f>
        <v>0</v>
      </c>
      <c r="K168">
        <f>IF(OR(A168="",L168&lt;&gt;TRUE),0,I168*J168)</f>
        <v>0</v>
      </c>
      <c r="L168" t="b">
        <f>IF(A168="","",AND('03_EXECUTION_LOG'!F168="success",INDEX('02_TASK_CATALOG'!J:J,MATCH(C168,'02_TASK_CATALOG'!A:A,0))=TRUE,H168&gt;0,J168&gt;0,'03_EXECUTION_LOG'!J168&lt;&gt;""))</f>
        <v>0</v>
      </c>
      <c r="M168" t="str">
        <f>IF(A168="","",IF('03_EXECUTION_LOG'!F168&lt;&gt;"success","non-success status",IF(INDEX('02_TASK_CATALOG'!J:J,MATCH(C168,'02_TASK_CATALOG'!A:A,0))&lt;&gt;TRUE,"task not approved",IF(H168&lt;=0,"no net time saved",IF(J168&lt;=0,"missing labor rate",IF('03_EXECUTION_LOG'!J168="","missing evidence",""))))))</f>
        <v/>
      </c>
      <c r="N168" t="str">
        <f>IF(A168="","",IF(AND(L168=TRUE,'03_EXECUTION_LOG'!I168=FALSE),"high",IF(AND(L168=TRUE,'03_EXECUTION_LOG'!I168=TRUE),"medium","low")))</f>
        <v/>
      </c>
      <c r="O168" t="str">
        <f>IF(A168="","",IF(AND(L168=TRUE,'03_EXECUTION_LOG'!J168&lt;&gt;""),"yes","needs-review"))</f>
        <v/>
      </c>
    </row>
    <row r="169">
      <c r="A169" t="str">
        <f>IF('03_EXECUTION_LOG'!A169="","",'03_EXECUTION_LOG'!A169)</f>
        <v/>
      </c>
      <c r="B169" t="str">
        <f>IF('03_EXECUTION_LOG'!B169="","",LEFT('03_EXECUTION_LOG'!B169,7))</f>
        <v/>
      </c>
      <c r="C169" t="str">
        <f>IF('03_EXECUTION_LOG'!E169="","",'03_EXECUTION_LOG'!E169)</f>
        <v/>
      </c>
      <c r="D169" t="str">
        <f>IF(C169="","",INDEX('02_TASK_CATALOG'!E:E,MATCH(C169,'02_TASK_CATALOG'!A:A,0)))</f>
        <v/>
      </c>
      <c r="E169">
        <f>IF(C169="","",INDEX('02_TASK_CATALOG'!F:F,MATCH(C169,'02_TASK_CATALOG'!A:A,0)))</f>
        <v>0</v>
      </c>
      <c r="F169">
        <f>IF(C169="","",INDEX('02_TASK_CATALOG'!G:G,MATCH(C169,'02_TASK_CATALOG'!A:A,0)))</f>
        <v>0</v>
      </c>
      <c r="G169">
        <f>IF(C169="","",INDEX('02_TASK_CATALOG'!H:H,MATCH(C169,'02_TASK_CATALOG'!A:A,0)))</f>
        <v>0</v>
      </c>
      <c r="H169">
        <f>IF(A169="","",MAX(0,E169-F169-G169))</f>
        <v>0</v>
      </c>
      <c r="I169">
        <f>IF(A169="","",H169*IF('03_EXECUTION_LOG'!H169="",1,'03_EXECUTION_LOG'!H169)/60)</f>
        <v>0</v>
      </c>
      <c r="J169">
        <f>IF(D169="","",INDEX('01_ASSUMPTIONS'!C:C,MATCH(D169,'01_ASSUMPTIONS'!A:A,0)))</f>
        <v>0</v>
      </c>
      <c r="K169">
        <f>IF(OR(A169="",L169&lt;&gt;TRUE),0,I169*J169)</f>
        <v>0</v>
      </c>
      <c r="L169" t="b">
        <f>IF(A169="","",AND('03_EXECUTION_LOG'!F169="success",INDEX('02_TASK_CATALOG'!J:J,MATCH(C169,'02_TASK_CATALOG'!A:A,0))=TRUE,H169&gt;0,J169&gt;0,'03_EXECUTION_LOG'!J169&lt;&gt;""))</f>
        <v>0</v>
      </c>
      <c r="M169" t="str">
        <f>IF(A169="","",IF('03_EXECUTION_LOG'!F169&lt;&gt;"success","non-success status",IF(INDEX('02_TASK_CATALOG'!J:J,MATCH(C169,'02_TASK_CATALOG'!A:A,0))&lt;&gt;TRUE,"task not approved",IF(H169&lt;=0,"no net time saved",IF(J169&lt;=0,"missing labor rate",IF('03_EXECUTION_LOG'!J169="","missing evidence",""))))))</f>
        <v/>
      </c>
      <c r="N169" t="str">
        <f>IF(A169="","",IF(AND(L169=TRUE,'03_EXECUTION_LOG'!I169=FALSE),"high",IF(AND(L169=TRUE,'03_EXECUTION_LOG'!I169=TRUE),"medium","low")))</f>
        <v/>
      </c>
      <c r="O169" t="str">
        <f>IF(A169="","",IF(AND(L169=TRUE,'03_EXECUTION_LOG'!J169&lt;&gt;""),"yes","needs-review"))</f>
        <v/>
      </c>
    </row>
    <row r="170">
      <c r="A170" t="str">
        <f>IF('03_EXECUTION_LOG'!A170="","",'03_EXECUTION_LOG'!A170)</f>
        <v/>
      </c>
      <c r="B170" t="str">
        <f>IF('03_EXECUTION_LOG'!B170="","",LEFT('03_EXECUTION_LOG'!B170,7))</f>
        <v/>
      </c>
      <c r="C170" t="str">
        <f>IF('03_EXECUTION_LOG'!E170="","",'03_EXECUTION_LOG'!E170)</f>
        <v/>
      </c>
      <c r="D170" t="str">
        <f>IF(C170="","",INDEX('02_TASK_CATALOG'!E:E,MATCH(C170,'02_TASK_CATALOG'!A:A,0)))</f>
        <v/>
      </c>
      <c r="E170">
        <f>IF(C170="","",INDEX('02_TASK_CATALOG'!F:F,MATCH(C170,'02_TASK_CATALOG'!A:A,0)))</f>
        <v>0</v>
      </c>
      <c r="F170">
        <f>IF(C170="","",INDEX('02_TASK_CATALOG'!G:G,MATCH(C170,'02_TASK_CATALOG'!A:A,0)))</f>
        <v>0</v>
      </c>
      <c r="G170">
        <f>IF(C170="","",INDEX('02_TASK_CATALOG'!H:H,MATCH(C170,'02_TASK_CATALOG'!A:A,0)))</f>
        <v>0</v>
      </c>
      <c r="H170">
        <f>IF(A170="","",MAX(0,E170-F170-G170))</f>
        <v>0</v>
      </c>
      <c r="I170">
        <f>IF(A170="","",H170*IF('03_EXECUTION_LOG'!H170="",1,'03_EXECUTION_LOG'!H170)/60)</f>
        <v>0</v>
      </c>
      <c r="J170">
        <f>IF(D170="","",INDEX('01_ASSUMPTIONS'!C:C,MATCH(D170,'01_ASSUMPTIONS'!A:A,0)))</f>
        <v>0</v>
      </c>
      <c r="K170">
        <f>IF(OR(A170="",L170&lt;&gt;TRUE),0,I170*J170)</f>
        <v>0</v>
      </c>
      <c r="L170" t="b">
        <f>IF(A170="","",AND('03_EXECUTION_LOG'!F170="success",INDEX('02_TASK_CATALOG'!J:J,MATCH(C170,'02_TASK_CATALOG'!A:A,0))=TRUE,H170&gt;0,J170&gt;0,'03_EXECUTION_LOG'!J170&lt;&gt;""))</f>
        <v>0</v>
      </c>
      <c r="M170" t="str">
        <f>IF(A170="","",IF('03_EXECUTION_LOG'!F170&lt;&gt;"success","non-success status",IF(INDEX('02_TASK_CATALOG'!J:J,MATCH(C170,'02_TASK_CATALOG'!A:A,0))&lt;&gt;TRUE,"task not approved",IF(H170&lt;=0,"no net time saved",IF(J170&lt;=0,"missing labor rate",IF('03_EXECUTION_LOG'!J170="","missing evidence",""))))))</f>
        <v/>
      </c>
      <c r="N170" t="str">
        <f>IF(A170="","",IF(AND(L170=TRUE,'03_EXECUTION_LOG'!I170=FALSE),"high",IF(AND(L170=TRUE,'03_EXECUTION_LOG'!I170=TRUE),"medium","low")))</f>
        <v/>
      </c>
      <c r="O170" t="str">
        <f>IF(A170="","",IF(AND(L170=TRUE,'03_EXECUTION_LOG'!J170&lt;&gt;""),"yes","needs-review"))</f>
        <v/>
      </c>
    </row>
    <row r="171">
      <c r="A171" t="str">
        <f>IF('03_EXECUTION_LOG'!A171="","",'03_EXECUTION_LOG'!A171)</f>
        <v/>
      </c>
      <c r="B171" t="str">
        <f>IF('03_EXECUTION_LOG'!B171="","",LEFT('03_EXECUTION_LOG'!B171,7))</f>
        <v/>
      </c>
      <c r="C171" t="str">
        <f>IF('03_EXECUTION_LOG'!E171="","",'03_EXECUTION_LOG'!E171)</f>
        <v/>
      </c>
      <c r="D171" t="str">
        <f>IF(C171="","",INDEX('02_TASK_CATALOG'!E:E,MATCH(C171,'02_TASK_CATALOG'!A:A,0)))</f>
        <v/>
      </c>
      <c r="E171">
        <f>IF(C171="","",INDEX('02_TASK_CATALOG'!F:F,MATCH(C171,'02_TASK_CATALOG'!A:A,0)))</f>
        <v>0</v>
      </c>
      <c r="F171">
        <f>IF(C171="","",INDEX('02_TASK_CATALOG'!G:G,MATCH(C171,'02_TASK_CATALOG'!A:A,0)))</f>
        <v>0</v>
      </c>
      <c r="G171">
        <f>IF(C171="","",INDEX('02_TASK_CATALOG'!H:H,MATCH(C171,'02_TASK_CATALOG'!A:A,0)))</f>
        <v>0</v>
      </c>
      <c r="H171">
        <f>IF(A171="","",MAX(0,E171-F171-G171))</f>
        <v>0</v>
      </c>
      <c r="I171">
        <f>IF(A171="","",H171*IF('03_EXECUTION_LOG'!H171="",1,'03_EXECUTION_LOG'!H171)/60)</f>
        <v>0</v>
      </c>
      <c r="J171">
        <f>IF(D171="","",INDEX('01_ASSUMPTIONS'!C:C,MATCH(D171,'01_ASSUMPTIONS'!A:A,0)))</f>
        <v>0</v>
      </c>
      <c r="K171">
        <f>IF(OR(A171="",L171&lt;&gt;TRUE),0,I171*J171)</f>
        <v>0</v>
      </c>
      <c r="L171" t="b">
        <f>IF(A171="","",AND('03_EXECUTION_LOG'!F171="success",INDEX('02_TASK_CATALOG'!J:J,MATCH(C171,'02_TASK_CATALOG'!A:A,0))=TRUE,H171&gt;0,J171&gt;0,'03_EXECUTION_LOG'!J171&lt;&gt;""))</f>
        <v>0</v>
      </c>
      <c r="M171" t="str">
        <f>IF(A171="","",IF('03_EXECUTION_LOG'!F171&lt;&gt;"success","non-success status",IF(INDEX('02_TASK_CATALOG'!J:J,MATCH(C171,'02_TASK_CATALOG'!A:A,0))&lt;&gt;TRUE,"task not approved",IF(H171&lt;=0,"no net time saved",IF(J171&lt;=0,"missing labor rate",IF('03_EXECUTION_LOG'!J171="","missing evidence",""))))))</f>
        <v/>
      </c>
      <c r="N171" t="str">
        <f>IF(A171="","",IF(AND(L171=TRUE,'03_EXECUTION_LOG'!I171=FALSE),"high",IF(AND(L171=TRUE,'03_EXECUTION_LOG'!I171=TRUE),"medium","low")))</f>
        <v/>
      </c>
      <c r="O171" t="str">
        <f>IF(A171="","",IF(AND(L171=TRUE,'03_EXECUTION_LOG'!J171&lt;&gt;""),"yes","needs-review"))</f>
        <v/>
      </c>
    </row>
    <row r="172">
      <c r="A172" t="str">
        <f>IF('03_EXECUTION_LOG'!A172="","",'03_EXECUTION_LOG'!A172)</f>
        <v/>
      </c>
      <c r="B172" t="str">
        <f>IF('03_EXECUTION_LOG'!B172="","",LEFT('03_EXECUTION_LOG'!B172,7))</f>
        <v/>
      </c>
      <c r="C172" t="str">
        <f>IF('03_EXECUTION_LOG'!E172="","",'03_EXECUTION_LOG'!E172)</f>
        <v/>
      </c>
      <c r="D172" t="str">
        <f>IF(C172="","",INDEX('02_TASK_CATALOG'!E:E,MATCH(C172,'02_TASK_CATALOG'!A:A,0)))</f>
        <v/>
      </c>
      <c r="E172">
        <f>IF(C172="","",INDEX('02_TASK_CATALOG'!F:F,MATCH(C172,'02_TASK_CATALOG'!A:A,0)))</f>
        <v>0</v>
      </c>
      <c r="F172">
        <f>IF(C172="","",INDEX('02_TASK_CATALOG'!G:G,MATCH(C172,'02_TASK_CATALOG'!A:A,0)))</f>
        <v>0</v>
      </c>
      <c r="G172">
        <f>IF(C172="","",INDEX('02_TASK_CATALOG'!H:H,MATCH(C172,'02_TASK_CATALOG'!A:A,0)))</f>
        <v>0</v>
      </c>
      <c r="H172">
        <f>IF(A172="","",MAX(0,E172-F172-G172))</f>
        <v>0</v>
      </c>
      <c r="I172">
        <f>IF(A172="","",H172*IF('03_EXECUTION_LOG'!H172="",1,'03_EXECUTION_LOG'!H172)/60)</f>
        <v>0</v>
      </c>
      <c r="J172">
        <f>IF(D172="","",INDEX('01_ASSUMPTIONS'!C:C,MATCH(D172,'01_ASSUMPTIONS'!A:A,0)))</f>
        <v>0</v>
      </c>
      <c r="K172">
        <f>IF(OR(A172="",L172&lt;&gt;TRUE),0,I172*J172)</f>
        <v>0</v>
      </c>
      <c r="L172" t="b">
        <f>IF(A172="","",AND('03_EXECUTION_LOG'!F172="success",INDEX('02_TASK_CATALOG'!J:J,MATCH(C172,'02_TASK_CATALOG'!A:A,0))=TRUE,H172&gt;0,J172&gt;0,'03_EXECUTION_LOG'!J172&lt;&gt;""))</f>
        <v>0</v>
      </c>
      <c r="M172" t="str">
        <f>IF(A172="","",IF('03_EXECUTION_LOG'!F172&lt;&gt;"success","non-success status",IF(INDEX('02_TASK_CATALOG'!J:J,MATCH(C172,'02_TASK_CATALOG'!A:A,0))&lt;&gt;TRUE,"task not approved",IF(H172&lt;=0,"no net time saved",IF(J172&lt;=0,"missing labor rate",IF('03_EXECUTION_LOG'!J172="","missing evidence",""))))))</f>
        <v/>
      </c>
      <c r="N172" t="str">
        <f>IF(A172="","",IF(AND(L172=TRUE,'03_EXECUTION_LOG'!I172=FALSE),"high",IF(AND(L172=TRUE,'03_EXECUTION_LOG'!I172=TRUE),"medium","low")))</f>
        <v/>
      </c>
      <c r="O172" t="str">
        <f>IF(A172="","",IF(AND(L172=TRUE,'03_EXECUTION_LOG'!J172&lt;&gt;""),"yes","needs-review"))</f>
        <v/>
      </c>
    </row>
    <row r="173">
      <c r="A173" t="str">
        <f>IF('03_EXECUTION_LOG'!A173="","",'03_EXECUTION_LOG'!A173)</f>
        <v/>
      </c>
      <c r="B173" t="str">
        <f>IF('03_EXECUTION_LOG'!B173="","",LEFT('03_EXECUTION_LOG'!B173,7))</f>
        <v/>
      </c>
      <c r="C173" t="str">
        <f>IF('03_EXECUTION_LOG'!E173="","",'03_EXECUTION_LOG'!E173)</f>
        <v/>
      </c>
      <c r="D173" t="str">
        <f>IF(C173="","",INDEX('02_TASK_CATALOG'!E:E,MATCH(C173,'02_TASK_CATALOG'!A:A,0)))</f>
        <v/>
      </c>
      <c r="E173">
        <f>IF(C173="","",INDEX('02_TASK_CATALOG'!F:F,MATCH(C173,'02_TASK_CATALOG'!A:A,0)))</f>
        <v>0</v>
      </c>
      <c r="F173">
        <f>IF(C173="","",INDEX('02_TASK_CATALOG'!G:G,MATCH(C173,'02_TASK_CATALOG'!A:A,0)))</f>
        <v>0</v>
      </c>
      <c r="G173">
        <f>IF(C173="","",INDEX('02_TASK_CATALOG'!H:H,MATCH(C173,'02_TASK_CATALOG'!A:A,0)))</f>
        <v>0</v>
      </c>
      <c r="H173">
        <f>IF(A173="","",MAX(0,E173-F173-G173))</f>
        <v>0</v>
      </c>
      <c r="I173">
        <f>IF(A173="","",H173*IF('03_EXECUTION_LOG'!H173="",1,'03_EXECUTION_LOG'!H173)/60)</f>
        <v>0</v>
      </c>
      <c r="J173">
        <f>IF(D173="","",INDEX('01_ASSUMPTIONS'!C:C,MATCH(D173,'01_ASSUMPTIONS'!A:A,0)))</f>
        <v>0</v>
      </c>
      <c r="K173">
        <f>IF(OR(A173="",L173&lt;&gt;TRUE),0,I173*J173)</f>
        <v>0</v>
      </c>
      <c r="L173" t="b">
        <f>IF(A173="","",AND('03_EXECUTION_LOG'!F173="success",INDEX('02_TASK_CATALOG'!J:J,MATCH(C173,'02_TASK_CATALOG'!A:A,0))=TRUE,H173&gt;0,J173&gt;0,'03_EXECUTION_LOG'!J173&lt;&gt;""))</f>
        <v>0</v>
      </c>
      <c r="M173" t="str">
        <f>IF(A173="","",IF('03_EXECUTION_LOG'!F173&lt;&gt;"success","non-success status",IF(INDEX('02_TASK_CATALOG'!J:J,MATCH(C173,'02_TASK_CATALOG'!A:A,0))&lt;&gt;TRUE,"task not approved",IF(H173&lt;=0,"no net time saved",IF(J173&lt;=0,"missing labor rate",IF('03_EXECUTION_LOG'!J173="","missing evidence",""))))))</f>
        <v/>
      </c>
      <c r="N173" t="str">
        <f>IF(A173="","",IF(AND(L173=TRUE,'03_EXECUTION_LOG'!I173=FALSE),"high",IF(AND(L173=TRUE,'03_EXECUTION_LOG'!I173=TRUE),"medium","low")))</f>
        <v/>
      </c>
      <c r="O173" t="str">
        <f>IF(A173="","",IF(AND(L173=TRUE,'03_EXECUTION_LOG'!J173&lt;&gt;""),"yes","needs-review"))</f>
        <v/>
      </c>
    </row>
    <row r="174">
      <c r="A174" t="str">
        <f>IF('03_EXECUTION_LOG'!A174="","",'03_EXECUTION_LOG'!A174)</f>
        <v/>
      </c>
      <c r="B174" t="str">
        <f>IF('03_EXECUTION_LOG'!B174="","",LEFT('03_EXECUTION_LOG'!B174,7))</f>
        <v/>
      </c>
      <c r="C174" t="str">
        <f>IF('03_EXECUTION_LOG'!E174="","",'03_EXECUTION_LOG'!E174)</f>
        <v/>
      </c>
      <c r="D174" t="str">
        <f>IF(C174="","",INDEX('02_TASK_CATALOG'!E:E,MATCH(C174,'02_TASK_CATALOG'!A:A,0)))</f>
        <v/>
      </c>
      <c r="E174">
        <f>IF(C174="","",INDEX('02_TASK_CATALOG'!F:F,MATCH(C174,'02_TASK_CATALOG'!A:A,0)))</f>
        <v>0</v>
      </c>
      <c r="F174">
        <f>IF(C174="","",INDEX('02_TASK_CATALOG'!G:G,MATCH(C174,'02_TASK_CATALOG'!A:A,0)))</f>
        <v>0</v>
      </c>
      <c r="G174">
        <f>IF(C174="","",INDEX('02_TASK_CATALOG'!H:H,MATCH(C174,'02_TASK_CATALOG'!A:A,0)))</f>
        <v>0</v>
      </c>
      <c r="H174">
        <f>IF(A174="","",MAX(0,E174-F174-G174))</f>
        <v>0</v>
      </c>
      <c r="I174">
        <f>IF(A174="","",H174*IF('03_EXECUTION_LOG'!H174="",1,'03_EXECUTION_LOG'!H174)/60)</f>
        <v>0</v>
      </c>
      <c r="J174">
        <f>IF(D174="","",INDEX('01_ASSUMPTIONS'!C:C,MATCH(D174,'01_ASSUMPTIONS'!A:A,0)))</f>
        <v>0</v>
      </c>
      <c r="K174">
        <f>IF(OR(A174="",L174&lt;&gt;TRUE),0,I174*J174)</f>
        <v>0</v>
      </c>
      <c r="L174" t="b">
        <f>IF(A174="","",AND('03_EXECUTION_LOG'!F174="success",INDEX('02_TASK_CATALOG'!J:J,MATCH(C174,'02_TASK_CATALOG'!A:A,0))=TRUE,H174&gt;0,J174&gt;0,'03_EXECUTION_LOG'!J174&lt;&gt;""))</f>
        <v>0</v>
      </c>
      <c r="M174" t="str">
        <f>IF(A174="","",IF('03_EXECUTION_LOG'!F174&lt;&gt;"success","non-success status",IF(INDEX('02_TASK_CATALOG'!J:J,MATCH(C174,'02_TASK_CATALOG'!A:A,0))&lt;&gt;TRUE,"task not approved",IF(H174&lt;=0,"no net time saved",IF(J174&lt;=0,"missing labor rate",IF('03_EXECUTION_LOG'!J174="","missing evidence",""))))))</f>
        <v/>
      </c>
      <c r="N174" t="str">
        <f>IF(A174="","",IF(AND(L174=TRUE,'03_EXECUTION_LOG'!I174=FALSE),"high",IF(AND(L174=TRUE,'03_EXECUTION_LOG'!I174=TRUE),"medium","low")))</f>
        <v/>
      </c>
      <c r="O174" t="str">
        <f>IF(A174="","",IF(AND(L174=TRUE,'03_EXECUTION_LOG'!J174&lt;&gt;""),"yes","needs-review"))</f>
        <v/>
      </c>
    </row>
    <row r="175">
      <c r="A175" t="str">
        <f>IF('03_EXECUTION_LOG'!A175="","",'03_EXECUTION_LOG'!A175)</f>
        <v/>
      </c>
      <c r="B175" t="str">
        <f>IF('03_EXECUTION_LOG'!B175="","",LEFT('03_EXECUTION_LOG'!B175,7))</f>
        <v/>
      </c>
      <c r="C175" t="str">
        <f>IF('03_EXECUTION_LOG'!E175="","",'03_EXECUTION_LOG'!E175)</f>
        <v/>
      </c>
      <c r="D175" t="str">
        <f>IF(C175="","",INDEX('02_TASK_CATALOG'!E:E,MATCH(C175,'02_TASK_CATALOG'!A:A,0)))</f>
        <v/>
      </c>
      <c r="E175">
        <f>IF(C175="","",INDEX('02_TASK_CATALOG'!F:F,MATCH(C175,'02_TASK_CATALOG'!A:A,0)))</f>
        <v>0</v>
      </c>
      <c r="F175">
        <f>IF(C175="","",INDEX('02_TASK_CATALOG'!G:G,MATCH(C175,'02_TASK_CATALOG'!A:A,0)))</f>
        <v>0</v>
      </c>
      <c r="G175">
        <f>IF(C175="","",INDEX('02_TASK_CATALOG'!H:H,MATCH(C175,'02_TASK_CATALOG'!A:A,0)))</f>
        <v>0</v>
      </c>
      <c r="H175">
        <f>IF(A175="","",MAX(0,E175-F175-G175))</f>
        <v>0</v>
      </c>
      <c r="I175">
        <f>IF(A175="","",H175*IF('03_EXECUTION_LOG'!H175="",1,'03_EXECUTION_LOG'!H175)/60)</f>
        <v>0</v>
      </c>
      <c r="J175">
        <f>IF(D175="","",INDEX('01_ASSUMPTIONS'!C:C,MATCH(D175,'01_ASSUMPTIONS'!A:A,0)))</f>
        <v>0</v>
      </c>
      <c r="K175">
        <f>IF(OR(A175="",L175&lt;&gt;TRUE),0,I175*J175)</f>
        <v>0</v>
      </c>
      <c r="L175" t="b">
        <f>IF(A175="","",AND('03_EXECUTION_LOG'!F175="success",INDEX('02_TASK_CATALOG'!J:J,MATCH(C175,'02_TASK_CATALOG'!A:A,0))=TRUE,H175&gt;0,J175&gt;0,'03_EXECUTION_LOG'!J175&lt;&gt;""))</f>
        <v>0</v>
      </c>
      <c r="M175" t="str">
        <f>IF(A175="","",IF('03_EXECUTION_LOG'!F175&lt;&gt;"success","non-success status",IF(INDEX('02_TASK_CATALOG'!J:J,MATCH(C175,'02_TASK_CATALOG'!A:A,0))&lt;&gt;TRUE,"task not approved",IF(H175&lt;=0,"no net time saved",IF(J175&lt;=0,"missing labor rate",IF('03_EXECUTION_LOG'!J175="","missing evidence",""))))))</f>
        <v/>
      </c>
      <c r="N175" t="str">
        <f>IF(A175="","",IF(AND(L175=TRUE,'03_EXECUTION_LOG'!I175=FALSE),"high",IF(AND(L175=TRUE,'03_EXECUTION_LOG'!I175=TRUE),"medium","low")))</f>
        <v/>
      </c>
      <c r="O175" t="str">
        <f>IF(A175="","",IF(AND(L175=TRUE,'03_EXECUTION_LOG'!J175&lt;&gt;""),"yes","needs-review"))</f>
        <v/>
      </c>
    </row>
    <row r="176">
      <c r="A176" t="str">
        <f>IF('03_EXECUTION_LOG'!A176="","",'03_EXECUTION_LOG'!A176)</f>
        <v/>
      </c>
      <c r="B176" t="str">
        <f>IF('03_EXECUTION_LOG'!B176="","",LEFT('03_EXECUTION_LOG'!B176,7))</f>
        <v/>
      </c>
      <c r="C176" t="str">
        <f>IF('03_EXECUTION_LOG'!E176="","",'03_EXECUTION_LOG'!E176)</f>
        <v/>
      </c>
      <c r="D176" t="str">
        <f>IF(C176="","",INDEX('02_TASK_CATALOG'!E:E,MATCH(C176,'02_TASK_CATALOG'!A:A,0)))</f>
        <v/>
      </c>
      <c r="E176">
        <f>IF(C176="","",INDEX('02_TASK_CATALOG'!F:F,MATCH(C176,'02_TASK_CATALOG'!A:A,0)))</f>
        <v>0</v>
      </c>
      <c r="F176">
        <f>IF(C176="","",INDEX('02_TASK_CATALOG'!G:G,MATCH(C176,'02_TASK_CATALOG'!A:A,0)))</f>
        <v>0</v>
      </c>
      <c r="G176">
        <f>IF(C176="","",INDEX('02_TASK_CATALOG'!H:H,MATCH(C176,'02_TASK_CATALOG'!A:A,0)))</f>
        <v>0</v>
      </c>
      <c r="H176">
        <f>IF(A176="","",MAX(0,E176-F176-G176))</f>
        <v>0</v>
      </c>
      <c r="I176">
        <f>IF(A176="","",H176*IF('03_EXECUTION_LOG'!H176="",1,'03_EXECUTION_LOG'!H176)/60)</f>
        <v>0</v>
      </c>
      <c r="J176">
        <f>IF(D176="","",INDEX('01_ASSUMPTIONS'!C:C,MATCH(D176,'01_ASSUMPTIONS'!A:A,0)))</f>
        <v>0</v>
      </c>
      <c r="K176">
        <f>IF(OR(A176="",L176&lt;&gt;TRUE),0,I176*J176)</f>
        <v>0</v>
      </c>
      <c r="L176" t="b">
        <f>IF(A176="","",AND('03_EXECUTION_LOG'!F176="success",INDEX('02_TASK_CATALOG'!J:J,MATCH(C176,'02_TASK_CATALOG'!A:A,0))=TRUE,H176&gt;0,J176&gt;0,'03_EXECUTION_LOG'!J176&lt;&gt;""))</f>
        <v>0</v>
      </c>
      <c r="M176" t="str">
        <f>IF(A176="","",IF('03_EXECUTION_LOG'!F176&lt;&gt;"success","non-success status",IF(INDEX('02_TASK_CATALOG'!J:J,MATCH(C176,'02_TASK_CATALOG'!A:A,0))&lt;&gt;TRUE,"task not approved",IF(H176&lt;=0,"no net time saved",IF(J176&lt;=0,"missing labor rate",IF('03_EXECUTION_LOG'!J176="","missing evidence",""))))))</f>
        <v/>
      </c>
      <c r="N176" t="str">
        <f>IF(A176="","",IF(AND(L176=TRUE,'03_EXECUTION_LOG'!I176=FALSE),"high",IF(AND(L176=TRUE,'03_EXECUTION_LOG'!I176=TRUE),"medium","low")))</f>
        <v/>
      </c>
      <c r="O176" t="str">
        <f>IF(A176="","",IF(AND(L176=TRUE,'03_EXECUTION_LOG'!J176&lt;&gt;""),"yes","needs-review"))</f>
        <v/>
      </c>
    </row>
    <row r="177">
      <c r="A177" t="str">
        <f>IF('03_EXECUTION_LOG'!A177="","",'03_EXECUTION_LOG'!A177)</f>
        <v/>
      </c>
      <c r="B177" t="str">
        <f>IF('03_EXECUTION_LOG'!B177="","",LEFT('03_EXECUTION_LOG'!B177,7))</f>
        <v/>
      </c>
      <c r="C177" t="str">
        <f>IF('03_EXECUTION_LOG'!E177="","",'03_EXECUTION_LOG'!E177)</f>
        <v/>
      </c>
      <c r="D177" t="str">
        <f>IF(C177="","",INDEX('02_TASK_CATALOG'!E:E,MATCH(C177,'02_TASK_CATALOG'!A:A,0)))</f>
        <v/>
      </c>
      <c r="E177">
        <f>IF(C177="","",INDEX('02_TASK_CATALOG'!F:F,MATCH(C177,'02_TASK_CATALOG'!A:A,0)))</f>
        <v>0</v>
      </c>
      <c r="F177">
        <f>IF(C177="","",INDEX('02_TASK_CATALOG'!G:G,MATCH(C177,'02_TASK_CATALOG'!A:A,0)))</f>
        <v>0</v>
      </c>
      <c r="G177">
        <f>IF(C177="","",INDEX('02_TASK_CATALOG'!H:H,MATCH(C177,'02_TASK_CATALOG'!A:A,0)))</f>
        <v>0</v>
      </c>
      <c r="H177">
        <f>IF(A177="","",MAX(0,E177-F177-G177))</f>
        <v>0</v>
      </c>
      <c r="I177">
        <f>IF(A177="","",H177*IF('03_EXECUTION_LOG'!H177="",1,'03_EXECUTION_LOG'!H177)/60)</f>
        <v>0</v>
      </c>
      <c r="J177">
        <f>IF(D177="","",INDEX('01_ASSUMPTIONS'!C:C,MATCH(D177,'01_ASSUMPTIONS'!A:A,0)))</f>
        <v>0</v>
      </c>
      <c r="K177">
        <f>IF(OR(A177="",L177&lt;&gt;TRUE),0,I177*J177)</f>
        <v>0</v>
      </c>
      <c r="L177" t="b">
        <f>IF(A177="","",AND('03_EXECUTION_LOG'!F177="success",INDEX('02_TASK_CATALOG'!J:J,MATCH(C177,'02_TASK_CATALOG'!A:A,0))=TRUE,H177&gt;0,J177&gt;0,'03_EXECUTION_LOG'!J177&lt;&gt;""))</f>
        <v>0</v>
      </c>
      <c r="M177" t="str">
        <f>IF(A177="","",IF('03_EXECUTION_LOG'!F177&lt;&gt;"success","non-success status",IF(INDEX('02_TASK_CATALOG'!J:J,MATCH(C177,'02_TASK_CATALOG'!A:A,0))&lt;&gt;TRUE,"task not approved",IF(H177&lt;=0,"no net time saved",IF(J177&lt;=0,"missing labor rate",IF('03_EXECUTION_LOG'!J177="","missing evidence",""))))))</f>
        <v/>
      </c>
      <c r="N177" t="str">
        <f>IF(A177="","",IF(AND(L177=TRUE,'03_EXECUTION_LOG'!I177=FALSE),"high",IF(AND(L177=TRUE,'03_EXECUTION_LOG'!I177=TRUE),"medium","low")))</f>
        <v/>
      </c>
      <c r="O177" t="str">
        <f>IF(A177="","",IF(AND(L177=TRUE,'03_EXECUTION_LOG'!J177&lt;&gt;""),"yes","needs-review"))</f>
        <v/>
      </c>
    </row>
    <row r="178">
      <c r="A178" t="str">
        <f>IF('03_EXECUTION_LOG'!A178="","",'03_EXECUTION_LOG'!A178)</f>
        <v/>
      </c>
      <c r="B178" t="str">
        <f>IF('03_EXECUTION_LOG'!B178="","",LEFT('03_EXECUTION_LOG'!B178,7))</f>
        <v/>
      </c>
      <c r="C178" t="str">
        <f>IF('03_EXECUTION_LOG'!E178="","",'03_EXECUTION_LOG'!E178)</f>
        <v/>
      </c>
      <c r="D178" t="str">
        <f>IF(C178="","",INDEX('02_TASK_CATALOG'!E:E,MATCH(C178,'02_TASK_CATALOG'!A:A,0)))</f>
        <v/>
      </c>
      <c r="E178">
        <f>IF(C178="","",INDEX('02_TASK_CATALOG'!F:F,MATCH(C178,'02_TASK_CATALOG'!A:A,0)))</f>
        <v>0</v>
      </c>
      <c r="F178">
        <f>IF(C178="","",INDEX('02_TASK_CATALOG'!G:G,MATCH(C178,'02_TASK_CATALOG'!A:A,0)))</f>
        <v>0</v>
      </c>
      <c r="G178">
        <f>IF(C178="","",INDEX('02_TASK_CATALOG'!H:H,MATCH(C178,'02_TASK_CATALOG'!A:A,0)))</f>
        <v>0</v>
      </c>
      <c r="H178">
        <f>IF(A178="","",MAX(0,E178-F178-G178))</f>
        <v>0</v>
      </c>
      <c r="I178">
        <f>IF(A178="","",H178*IF('03_EXECUTION_LOG'!H178="",1,'03_EXECUTION_LOG'!H178)/60)</f>
        <v>0</v>
      </c>
      <c r="J178">
        <f>IF(D178="","",INDEX('01_ASSUMPTIONS'!C:C,MATCH(D178,'01_ASSUMPTIONS'!A:A,0)))</f>
        <v>0</v>
      </c>
      <c r="K178">
        <f>IF(OR(A178="",L178&lt;&gt;TRUE),0,I178*J178)</f>
        <v>0</v>
      </c>
      <c r="L178" t="b">
        <f>IF(A178="","",AND('03_EXECUTION_LOG'!F178="success",INDEX('02_TASK_CATALOG'!J:J,MATCH(C178,'02_TASK_CATALOG'!A:A,0))=TRUE,H178&gt;0,J178&gt;0,'03_EXECUTION_LOG'!J178&lt;&gt;""))</f>
        <v>0</v>
      </c>
      <c r="M178" t="str">
        <f>IF(A178="","",IF('03_EXECUTION_LOG'!F178&lt;&gt;"success","non-success status",IF(INDEX('02_TASK_CATALOG'!J:J,MATCH(C178,'02_TASK_CATALOG'!A:A,0))&lt;&gt;TRUE,"task not approved",IF(H178&lt;=0,"no net time saved",IF(J178&lt;=0,"missing labor rate",IF('03_EXECUTION_LOG'!J178="","missing evidence",""))))))</f>
        <v/>
      </c>
      <c r="N178" t="str">
        <f>IF(A178="","",IF(AND(L178=TRUE,'03_EXECUTION_LOG'!I178=FALSE),"high",IF(AND(L178=TRUE,'03_EXECUTION_LOG'!I178=TRUE),"medium","low")))</f>
        <v/>
      </c>
      <c r="O178" t="str">
        <f>IF(A178="","",IF(AND(L178=TRUE,'03_EXECUTION_LOG'!J178&lt;&gt;""),"yes","needs-review"))</f>
        <v/>
      </c>
    </row>
    <row r="179">
      <c r="A179" t="str">
        <f>IF('03_EXECUTION_LOG'!A179="","",'03_EXECUTION_LOG'!A179)</f>
        <v/>
      </c>
      <c r="B179" t="str">
        <f>IF('03_EXECUTION_LOG'!B179="","",LEFT('03_EXECUTION_LOG'!B179,7))</f>
        <v/>
      </c>
      <c r="C179" t="str">
        <f>IF('03_EXECUTION_LOG'!E179="","",'03_EXECUTION_LOG'!E179)</f>
        <v/>
      </c>
      <c r="D179" t="str">
        <f>IF(C179="","",INDEX('02_TASK_CATALOG'!E:E,MATCH(C179,'02_TASK_CATALOG'!A:A,0)))</f>
        <v/>
      </c>
      <c r="E179">
        <f>IF(C179="","",INDEX('02_TASK_CATALOG'!F:F,MATCH(C179,'02_TASK_CATALOG'!A:A,0)))</f>
        <v>0</v>
      </c>
      <c r="F179">
        <f>IF(C179="","",INDEX('02_TASK_CATALOG'!G:G,MATCH(C179,'02_TASK_CATALOG'!A:A,0)))</f>
        <v>0</v>
      </c>
      <c r="G179">
        <f>IF(C179="","",INDEX('02_TASK_CATALOG'!H:H,MATCH(C179,'02_TASK_CATALOG'!A:A,0)))</f>
        <v>0</v>
      </c>
      <c r="H179">
        <f>IF(A179="","",MAX(0,E179-F179-G179))</f>
        <v>0</v>
      </c>
      <c r="I179">
        <f>IF(A179="","",H179*IF('03_EXECUTION_LOG'!H179="",1,'03_EXECUTION_LOG'!H179)/60)</f>
        <v>0</v>
      </c>
      <c r="J179">
        <f>IF(D179="","",INDEX('01_ASSUMPTIONS'!C:C,MATCH(D179,'01_ASSUMPTIONS'!A:A,0)))</f>
        <v>0</v>
      </c>
      <c r="K179">
        <f>IF(OR(A179="",L179&lt;&gt;TRUE),0,I179*J179)</f>
        <v>0</v>
      </c>
      <c r="L179" t="b">
        <f>IF(A179="","",AND('03_EXECUTION_LOG'!F179="success",INDEX('02_TASK_CATALOG'!J:J,MATCH(C179,'02_TASK_CATALOG'!A:A,0))=TRUE,H179&gt;0,J179&gt;0,'03_EXECUTION_LOG'!J179&lt;&gt;""))</f>
        <v>0</v>
      </c>
      <c r="M179" t="str">
        <f>IF(A179="","",IF('03_EXECUTION_LOG'!F179&lt;&gt;"success","non-success status",IF(INDEX('02_TASK_CATALOG'!J:J,MATCH(C179,'02_TASK_CATALOG'!A:A,0))&lt;&gt;TRUE,"task not approved",IF(H179&lt;=0,"no net time saved",IF(J179&lt;=0,"missing labor rate",IF('03_EXECUTION_LOG'!J179="","missing evidence",""))))))</f>
        <v/>
      </c>
      <c r="N179" t="str">
        <f>IF(A179="","",IF(AND(L179=TRUE,'03_EXECUTION_LOG'!I179=FALSE),"high",IF(AND(L179=TRUE,'03_EXECUTION_LOG'!I179=TRUE),"medium","low")))</f>
        <v/>
      </c>
      <c r="O179" t="str">
        <f>IF(A179="","",IF(AND(L179=TRUE,'03_EXECUTION_LOG'!J179&lt;&gt;""),"yes","needs-review"))</f>
        <v/>
      </c>
    </row>
    <row r="180">
      <c r="A180" t="str">
        <f>IF('03_EXECUTION_LOG'!A180="","",'03_EXECUTION_LOG'!A180)</f>
        <v/>
      </c>
      <c r="B180" t="str">
        <f>IF('03_EXECUTION_LOG'!B180="","",LEFT('03_EXECUTION_LOG'!B180,7))</f>
        <v/>
      </c>
      <c r="C180" t="str">
        <f>IF('03_EXECUTION_LOG'!E180="","",'03_EXECUTION_LOG'!E180)</f>
        <v/>
      </c>
      <c r="D180" t="str">
        <f>IF(C180="","",INDEX('02_TASK_CATALOG'!E:E,MATCH(C180,'02_TASK_CATALOG'!A:A,0)))</f>
        <v/>
      </c>
      <c r="E180">
        <f>IF(C180="","",INDEX('02_TASK_CATALOG'!F:F,MATCH(C180,'02_TASK_CATALOG'!A:A,0)))</f>
        <v>0</v>
      </c>
      <c r="F180">
        <f>IF(C180="","",INDEX('02_TASK_CATALOG'!G:G,MATCH(C180,'02_TASK_CATALOG'!A:A,0)))</f>
        <v>0</v>
      </c>
      <c r="G180">
        <f>IF(C180="","",INDEX('02_TASK_CATALOG'!H:H,MATCH(C180,'02_TASK_CATALOG'!A:A,0)))</f>
        <v>0</v>
      </c>
      <c r="H180">
        <f>IF(A180="","",MAX(0,E180-F180-G180))</f>
        <v>0</v>
      </c>
      <c r="I180">
        <f>IF(A180="","",H180*IF('03_EXECUTION_LOG'!H180="",1,'03_EXECUTION_LOG'!H180)/60)</f>
        <v>0</v>
      </c>
      <c r="J180">
        <f>IF(D180="","",INDEX('01_ASSUMPTIONS'!C:C,MATCH(D180,'01_ASSUMPTIONS'!A:A,0)))</f>
        <v>0</v>
      </c>
      <c r="K180">
        <f>IF(OR(A180="",L180&lt;&gt;TRUE),0,I180*J180)</f>
        <v>0</v>
      </c>
      <c r="L180" t="b">
        <f>IF(A180="","",AND('03_EXECUTION_LOG'!F180="success",INDEX('02_TASK_CATALOG'!J:J,MATCH(C180,'02_TASK_CATALOG'!A:A,0))=TRUE,H180&gt;0,J180&gt;0,'03_EXECUTION_LOG'!J180&lt;&gt;""))</f>
        <v>0</v>
      </c>
      <c r="M180" t="str">
        <f>IF(A180="","",IF('03_EXECUTION_LOG'!F180&lt;&gt;"success","non-success status",IF(INDEX('02_TASK_CATALOG'!J:J,MATCH(C180,'02_TASK_CATALOG'!A:A,0))&lt;&gt;TRUE,"task not approved",IF(H180&lt;=0,"no net time saved",IF(J180&lt;=0,"missing labor rate",IF('03_EXECUTION_LOG'!J180="","missing evidence",""))))))</f>
        <v/>
      </c>
      <c r="N180" t="str">
        <f>IF(A180="","",IF(AND(L180=TRUE,'03_EXECUTION_LOG'!I180=FALSE),"high",IF(AND(L180=TRUE,'03_EXECUTION_LOG'!I180=TRUE),"medium","low")))</f>
        <v/>
      </c>
      <c r="O180" t="str">
        <f>IF(A180="","",IF(AND(L180=TRUE,'03_EXECUTION_LOG'!J180&lt;&gt;""),"yes","needs-review"))</f>
        <v/>
      </c>
    </row>
    <row r="181">
      <c r="A181" t="str">
        <f>IF('03_EXECUTION_LOG'!A181="","",'03_EXECUTION_LOG'!A181)</f>
        <v/>
      </c>
      <c r="B181" t="str">
        <f>IF('03_EXECUTION_LOG'!B181="","",LEFT('03_EXECUTION_LOG'!B181,7))</f>
        <v/>
      </c>
      <c r="C181" t="str">
        <f>IF('03_EXECUTION_LOG'!E181="","",'03_EXECUTION_LOG'!E181)</f>
        <v/>
      </c>
      <c r="D181" t="str">
        <f>IF(C181="","",INDEX('02_TASK_CATALOG'!E:E,MATCH(C181,'02_TASK_CATALOG'!A:A,0)))</f>
        <v/>
      </c>
      <c r="E181">
        <f>IF(C181="","",INDEX('02_TASK_CATALOG'!F:F,MATCH(C181,'02_TASK_CATALOG'!A:A,0)))</f>
        <v>0</v>
      </c>
      <c r="F181">
        <f>IF(C181="","",INDEX('02_TASK_CATALOG'!G:G,MATCH(C181,'02_TASK_CATALOG'!A:A,0)))</f>
        <v>0</v>
      </c>
      <c r="G181">
        <f>IF(C181="","",INDEX('02_TASK_CATALOG'!H:H,MATCH(C181,'02_TASK_CATALOG'!A:A,0)))</f>
        <v>0</v>
      </c>
      <c r="H181">
        <f>IF(A181="","",MAX(0,E181-F181-G181))</f>
        <v>0</v>
      </c>
      <c r="I181">
        <f>IF(A181="","",H181*IF('03_EXECUTION_LOG'!H181="",1,'03_EXECUTION_LOG'!H181)/60)</f>
        <v>0</v>
      </c>
      <c r="J181">
        <f>IF(D181="","",INDEX('01_ASSUMPTIONS'!C:C,MATCH(D181,'01_ASSUMPTIONS'!A:A,0)))</f>
        <v>0</v>
      </c>
      <c r="K181">
        <f>IF(OR(A181="",L181&lt;&gt;TRUE),0,I181*J181)</f>
        <v>0</v>
      </c>
      <c r="L181" t="b">
        <f>IF(A181="","",AND('03_EXECUTION_LOG'!F181="success",INDEX('02_TASK_CATALOG'!J:J,MATCH(C181,'02_TASK_CATALOG'!A:A,0))=TRUE,H181&gt;0,J181&gt;0,'03_EXECUTION_LOG'!J181&lt;&gt;""))</f>
        <v>0</v>
      </c>
      <c r="M181" t="str">
        <f>IF(A181="","",IF('03_EXECUTION_LOG'!F181&lt;&gt;"success","non-success status",IF(INDEX('02_TASK_CATALOG'!J:J,MATCH(C181,'02_TASK_CATALOG'!A:A,0))&lt;&gt;TRUE,"task not approved",IF(H181&lt;=0,"no net time saved",IF(J181&lt;=0,"missing labor rate",IF('03_EXECUTION_LOG'!J181="","missing evidence",""))))))</f>
        <v/>
      </c>
      <c r="N181" t="str">
        <f>IF(A181="","",IF(AND(L181=TRUE,'03_EXECUTION_LOG'!I181=FALSE),"high",IF(AND(L181=TRUE,'03_EXECUTION_LOG'!I181=TRUE),"medium","low")))</f>
        <v/>
      </c>
      <c r="O181" t="str">
        <f>IF(A181="","",IF(AND(L181=TRUE,'03_EXECUTION_LOG'!J181&lt;&gt;""),"yes","needs-review"))</f>
        <v/>
      </c>
    </row>
    <row r="182">
      <c r="A182" t="str">
        <f>IF('03_EXECUTION_LOG'!A182="","",'03_EXECUTION_LOG'!A182)</f>
        <v/>
      </c>
      <c r="B182" t="str">
        <f>IF('03_EXECUTION_LOG'!B182="","",LEFT('03_EXECUTION_LOG'!B182,7))</f>
        <v/>
      </c>
      <c r="C182" t="str">
        <f>IF('03_EXECUTION_LOG'!E182="","",'03_EXECUTION_LOG'!E182)</f>
        <v/>
      </c>
      <c r="D182" t="str">
        <f>IF(C182="","",INDEX('02_TASK_CATALOG'!E:E,MATCH(C182,'02_TASK_CATALOG'!A:A,0)))</f>
        <v/>
      </c>
      <c r="E182">
        <f>IF(C182="","",INDEX('02_TASK_CATALOG'!F:F,MATCH(C182,'02_TASK_CATALOG'!A:A,0)))</f>
        <v>0</v>
      </c>
      <c r="F182">
        <f>IF(C182="","",INDEX('02_TASK_CATALOG'!G:G,MATCH(C182,'02_TASK_CATALOG'!A:A,0)))</f>
        <v>0</v>
      </c>
      <c r="G182">
        <f>IF(C182="","",INDEX('02_TASK_CATALOG'!H:H,MATCH(C182,'02_TASK_CATALOG'!A:A,0)))</f>
        <v>0</v>
      </c>
      <c r="H182">
        <f>IF(A182="","",MAX(0,E182-F182-G182))</f>
        <v>0</v>
      </c>
      <c r="I182">
        <f>IF(A182="","",H182*IF('03_EXECUTION_LOG'!H182="",1,'03_EXECUTION_LOG'!H182)/60)</f>
        <v>0</v>
      </c>
      <c r="J182">
        <f>IF(D182="","",INDEX('01_ASSUMPTIONS'!C:C,MATCH(D182,'01_ASSUMPTIONS'!A:A,0)))</f>
        <v>0</v>
      </c>
      <c r="K182">
        <f>IF(OR(A182="",L182&lt;&gt;TRUE),0,I182*J182)</f>
        <v>0</v>
      </c>
      <c r="L182" t="b">
        <f>IF(A182="","",AND('03_EXECUTION_LOG'!F182="success",INDEX('02_TASK_CATALOG'!J:J,MATCH(C182,'02_TASK_CATALOG'!A:A,0))=TRUE,H182&gt;0,J182&gt;0,'03_EXECUTION_LOG'!J182&lt;&gt;""))</f>
        <v>0</v>
      </c>
      <c r="M182" t="str">
        <f>IF(A182="","",IF('03_EXECUTION_LOG'!F182&lt;&gt;"success","non-success status",IF(INDEX('02_TASK_CATALOG'!J:J,MATCH(C182,'02_TASK_CATALOG'!A:A,0))&lt;&gt;TRUE,"task not approved",IF(H182&lt;=0,"no net time saved",IF(J182&lt;=0,"missing labor rate",IF('03_EXECUTION_LOG'!J182="","missing evidence",""))))))</f>
        <v/>
      </c>
      <c r="N182" t="str">
        <f>IF(A182="","",IF(AND(L182=TRUE,'03_EXECUTION_LOG'!I182=FALSE),"high",IF(AND(L182=TRUE,'03_EXECUTION_LOG'!I182=TRUE),"medium","low")))</f>
        <v/>
      </c>
      <c r="O182" t="str">
        <f>IF(A182="","",IF(AND(L182=TRUE,'03_EXECUTION_LOG'!J182&lt;&gt;""),"yes","needs-review"))</f>
        <v/>
      </c>
    </row>
    <row r="183">
      <c r="A183" t="str">
        <f>IF('03_EXECUTION_LOG'!A183="","",'03_EXECUTION_LOG'!A183)</f>
        <v/>
      </c>
      <c r="B183" t="str">
        <f>IF('03_EXECUTION_LOG'!B183="","",LEFT('03_EXECUTION_LOG'!B183,7))</f>
        <v/>
      </c>
      <c r="C183" t="str">
        <f>IF('03_EXECUTION_LOG'!E183="","",'03_EXECUTION_LOG'!E183)</f>
        <v/>
      </c>
      <c r="D183" t="str">
        <f>IF(C183="","",INDEX('02_TASK_CATALOG'!E:E,MATCH(C183,'02_TASK_CATALOG'!A:A,0)))</f>
        <v/>
      </c>
      <c r="E183">
        <f>IF(C183="","",INDEX('02_TASK_CATALOG'!F:F,MATCH(C183,'02_TASK_CATALOG'!A:A,0)))</f>
        <v>0</v>
      </c>
      <c r="F183">
        <f>IF(C183="","",INDEX('02_TASK_CATALOG'!G:G,MATCH(C183,'02_TASK_CATALOG'!A:A,0)))</f>
        <v>0</v>
      </c>
      <c r="G183">
        <f>IF(C183="","",INDEX('02_TASK_CATALOG'!H:H,MATCH(C183,'02_TASK_CATALOG'!A:A,0)))</f>
        <v>0</v>
      </c>
      <c r="H183">
        <f>IF(A183="","",MAX(0,E183-F183-G183))</f>
        <v>0</v>
      </c>
      <c r="I183">
        <f>IF(A183="","",H183*IF('03_EXECUTION_LOG'!H183="",1,'03_EXECUTION_LOG'!H183)/60)</f>
        <v>0</v>
      </c>
      <c r="J183">
        <f>IF(D183="","",INDEX('01_ASSUMPTIONS'!C:C,MATCH(D183,'01_ASSUMPTIONS'!A:A,0)))</f>
        <v>0</v>
      </c>
      <c r="K183">
        <f>IF(OR(A183="",L183&lt;&gt;TRUE),0,I183*J183)</f>
        <v>0</v>
      </c>
      <c r="L183" t="b">
        <f>IF(A183="","",AND('03_EXECUTION_LOG'!F183="success",INDEX('02_TASK_CATALOG'!J:J,MATCH(C183,'02_TASK_CATALOG'!A:A,0))=TRUE,H183&gt;0,J183&gt;0,'03_EXECUTION_LOG'!J183&lt;&gt;""))</f>
        <v>0</v>
      </c>
      <c r="M183" t="str">
        <f>IF(A183="","",IF('03_EXECUTION_LOG'!F183&lt;&gt;"success","non-success status",IF(INDEX('02_TASK_CATALOG'!J:J,MATCH(C183,'02_TASK_CATALOG'!A:A,0))&lt;&gt;TRUE,"task not approved",IF(H183&lt;=0,"no net time saved",IF(J183&lt;=0,"missing labor rate",IF('03_EXECUTION_LOG'!J183="","missing evidence",""))))))</f>
        <v/>
      </c>
      <c r="N183" t="str">
        <f>IF(A183="","",IF(AND(L183=TRUE,'03_EXECUTION_LOG'!I183=FALSE),"high",IF(AND(L183=TRUE,'03_EXECUTION_LOG'!I183=TRUE),"medium","low")))</f>
        <v/>
      </c>
      <c r="O183" t="str">
        <f>IF(A183="","",IF(AND(L183=TRUE,'03_EXECUTION_LOG'!J183&lt;&gt;""),"yes","needs-review"))</f>
        <v/>
      </c>
    </row>
    <row r="184">
      <c r="A184" t="str">
        <f>IF('03_EXECUTION_LOG'!A184="","",'03_EXECUTION_LOG'!A184)</f>
        <v/>
      </c>
      <c r="B184" t="str">
        <f>IF('03_EXECUTION_LOG'!B184="","",LEFT('03_EXECUTION_LOG'!B184,7))</f>
        <v/>
      </c>
      <c r="C184" t="str">
        <f>IF('03_EXECUTION_LOG'!E184="","",'03_EXECUTION_LOG'!E184)</f>
        <v/>
      </c>
      <c r="D184" t="str">
        <f>IF(C184="","",INDEX('02_TASK_CATALOG'!E:E,MATCH(C184,'02_TASK_CATALOG'!A:A,0)))</f>
        <v/>
      </c>
      <c r="E184">
        <f>IF(C184="","",INDEX('02_TASK_CATALOG'!F:F,MATCH(C184,'02_TASK_CATALOG'!A:A,0)))</f>
        <v>0</v>
      </c>
      <c r="F184">
        <f>IF(C184="","",INDEX('02_TASK_CATALOG'!G:G,MATCH(C184,'02_TASK_CATALOG'!A:A,0)))</f>
        <v>0</v>
      </c>
      <c r="G184">
        <f>IF(C184="","",INDEX('02_TASK_CATALOG'!H:H,MATCH(C184,'02_TASK_CATALOG'!A:A,0)))</f>
        <v>0</v>
      </c>
      <c r="H184">
        <f>IF(A184="","",MAX(0,E184-F184-G184))</f>
        <v>0</v>
      </c>
      <c r="I184">
        <f>IF(A184="","",H184*IF('03_EXECUTION_LOG'!H184="",1,'03_EXECUTION_LOG'!H184)/60)</f>
        <v>0</v>
      </c>
      <c r="J184">
        <f>IF(D184="","",INDEX('01_ASSUMPTIONS'!C:C,MATCH(D184,'01_ASSUMPTIONS'!A:A,0)))</f>
        <v>0</v>
      </c>
      <c r="K184">
        <f>IF(OR(A184="",L184&lt;&gt;TRUE),0,I184*J184)</f>
        <v>0</v>
      </c>
      <c r="L184" t="b">
        <f>IF(A184="","",AND('03_EXECUTION_LOG'!F184="success",INDEX('02_TASK_CATALOG'!J:J,MATCH(C184,'02_TASK_CATALOG'!A:A,0))=TRUE,H184&gt;0,J184&gt;0,'03_EXECUTION_LOG'!J184&lt;&gt;""))</f>
        <v>0</v>
      </c>
      <c r="M184" t="str">
        <f>IF(A184="","",IF('03_EXECUTION_LOG'!F184&lt;&gt;"success","non-success status",IF(INDEX('02_TASK_CATALOG'!J:J,MATCH(C184,'02_TASK_CATALOG'!A:A,0))&lt;&gt;TRUE,"task not approved",IF(H184&lt;=0,"no net time saved",IF(J184&lt;=0,"missing labor rate",IF('03_EXECUTION_LOG'!J184="","missing evidence",""))))))</f>
        <v/>
      </c>
      <c r="N184" t="str">
        <f>IF(A184="","",IF(AND(L184=TRUE,'03_EXECUTION_LOG'!I184=FALSE),"high",IF(AND(L184=TRUE,'03_EXECUTION_LOG'!I184=TRUE),"medium","low")))</f>
        <v/>
      </c>
      <c r="O184" t="str">
        <f>IF(A184="","",IF(AND(L184=TRUE,'03_EXECUTION_LOG'!J184&lt;&gt;""),"yes","needs-review"))</f>
        <v/>
      </c>
    </row>
    <row r="185">
      <c r="A185" t="str">
        <f>IF('03_EXECUTION_LOG'!A185="","",'03_EXECUTION_LOG'!A185)</f>
        <v/>
      </c>
      <c r="B185" t="str">
        <f>IF('03_EXECUTION_LOG'!B185="","",LEFT('03_EXECUTION_LOG'!B185,7))</f>
        <v/>
      </c>
      <c r="C185" t="str">
        <f>IF('03_EXECUTION_LOG'!E185="","",'03_EXECUTION_LOG'!E185)</f>
        <v/>
      </c>
      <c r="D185" t="str">
        <f>IF(C185="","",INDEX('02_TASK_CATALOG'!E:E,MATCH(C185,'02_TASK_CATALOG'!A:A,0)))</f>
        <v/>
      </c>
      <c r="E185">
        <f>IF(C185="","",INDEX('02_TASK_CATALOG'!F:F,MATCH(C185,'02_TASK_CATALOG'!A:A,0)))</f>
        <v>0</v>
      </c>
      <c r="F185">
        <f>IF(C185="","",INDEX('02_TASK_CATALOG'!G:G,MATCH(C185,'02_TASK_CATALOG'!A:A,0)))</f>
        <v>0</v>
      </c>
      <c r="G185">
        <f>IF(C185="","",INDEX('02_TASK_CATALOG'!H:H,MATCH(C185,'02_TASK_CATALOG'!A:A,0)))</f>
        <v>0</v>
      </c>
      <c r="H185">
        <f>IF(A185="","",MAX(0,E185-F185-G185))</f>
        <v>0</v>
      </c>
      <c r="I185">
        <f>IF(A185="","",H185*IF('03_EXECUTION_LOG'!H185="",1,'03_EXECUTION_LOG'!H185)/60)</f>
        <v>0</v>
      </c>
      <c r="J185">
        <f>IF(D185="","",INDEX('01_ASSUMPTIONS'!C:C,MATCH(D185,'01_ASSUMPTIONS'!A:A,0)))</f>
        <v>0</v>
      </c>
      <c r="K185">
        <f>IF(OR(A185="",L185&lt;&gt;TRUE),0,I185*J185)</f>
        <v>0</v>
      </c>
      <c r="L185" t="b">
        <f>IF(A185="","",AND('03_EXECUTION_LOG'!F185="success",INDEX('02_TASK_CATALOG'!J:J,MATCH(C185,'02_TASK_CATALOG'!A:A,0))=TRUE,H185&gt;0,J185&gt;0,'03_EXECUTION_LOG'!J185&lt;&gt;""))</f>
        <v>0</v>
      </c>
      <c r="M185" t="str">
        <f>IF(A185="","",IF('03_EXECUTION_LOG'!F185&lt;&gt;"success","non-success status",IF(INDEX('02_TASK_CATALOG'!J:J,MATCH(C185,'02_TASK_CATALOG'!A:A,0))&lt;&gt;TRUE,"task not approved",IF(H185&lt;=0,"no net time saved",IF(J185&lt;=0,"missing labor rate",IF('03_EXECUTION_LOG'!J185="","missing evidence",""))))))</f>
        <v/>
      </c>
      <c r="N185" t="str">
        <f>IF(A185="","",IF(AND(L185=TRUE,'03_EXECUTION_LOG'!I185=FALSE),"high",IF(AND(L185=TRUE,'03_EXECUTION_LOG'!I185=TRUE),"medium","low")))</f>
        <v/>
      </c>
      <c r="O185" t="str">
        <f>IF(A185="","",IF(AND(L185=TRUE,'03_EXECUTION_LOG'!J185&lt;&gt;""),"yes","needs-review"))</f>
        <v/>
      </c>
    </row>
    <row r="186">
      <c r="A186" t="str">
        <f>IF('03_EXECUTION_LOG'!A186="","",'03_EXECUTION_LOG'!A186)</f>
        <v/>
      </c>
      <c r="B186" t="str">
        <f>IF('03_EXECUTION_LOG'!B186="","",LEFT('03_EXECUTION_LOG'!B186,7))</f>
        <v/>
      </c>
      <c r="C186" t="str">
        <f>IF('03_EXECUTION_LOG'!E186="","",'03_EXECUTION_LOG'!E186)</f>
        <v/>
      </c>
      <c r="D186" t="str">
        <f>IF(C186="","",INDEX('02_TASK_CATALOG'!E:E,MATCH(C186,'02_TASK_CATALOG'!A:A,0)))</f>
        <v/>
      </c>
      <c r="E186">
        <f>IF(C186="","",INDEX('02_TASK_CATALOG'!F:F,MATCH(C186,'02_TASK_CATALOG'!A:A,0)))</f>
        <v>0</v>
      </c>
      <c r="F186">
        <f>IF(C186="","",INDEX('02_TASK_CATALOG'!G:G,MATCH(C186,'02_TASK_CATALOG'!A:A,0)))</f>
        <v>0</v>
      </c>
      <c r="G186">
        <f>IF(C186="","",INDEX('02_TASK_CATALOG'!H:H,MATCH(C186,'02_TASK_CATALOG'!A:A,0)))</f>
        <v>0</v>
      </c>
      <c r="H186">
        <f>IF(A186="","",MAX(0,E186-F186-G186))</f>
        <v>0</v>
      </c>
      <c r="I186">
        <f>IF(A186="","",H186*IF('03_EXECUTION_LOG'!H186="",1,'03_EXECUTION_LOG'!H186)/60)</f>
        <v>0</v>
      </c>
      <c r="J186">
        <f>IF(D186="","",INDEX('01_ASSUMPTIONS'!C:C,MATCH(D186,'01_ASSUMPTIONS'!A:A,0)))</f>
        <v>0</v>
      </c>
      <c r="K186">
        <f>IF(OR(A186="",L186&lt;&gt;TRUE),0,I186*J186)</f>
        <v>0</v>
      </c>
      <c r="L186" t="b">
        <f>IF(A186="","",AND('03_EXECUTION_LOG'!F186="success",INDEX('02_TASK_CATALOG'!J:J,MATCH(C186,'02_TASK_CATALOG'!A:A,0))=TRUE,H186&gt;0,J186&gt;0,'03_EXECUTION_LOG'!J186&lt;&gt;""))</f>
        <v>0</v>
      </c>
      <c r="M186" t="str">
        <f>IF(A186="","",IF('03_EXECUTION_LOG'!F186&lt;&gt;"success","non-success status",IF(INDEX('02_TASK_CATALOG'!J:J,MATCH(C186,'02_TASK_CATALOG'!A:A,0))&lt;&gt;TRUE,"task not approved",IF(H186&lt;=0,"no net time saved",IF(J186&lt;=0,"missing labor rate",IF('03_EXECUTION_LOG'!J186="","missing evidence",""))))))</f>
        <v/>
      </c>
      <c r="N186" t="str">
        <f>IF(A186="","",IF(AND(L186=TRUE,'03_EXECUTION_LOG'!I186=FALSE),"high",IF(AND(L186=TRUE,'03_EXECUTION_LOG'!I186=TRUE),"medium","low")))</f>
        <v/>
      </c>
      <c r="O186" t="str">
        <f>IF(A186="","",IF(AND(L186=TRUE,'03_EXECUTION_LOG'!J186&lt;&gt;""),"yes","needs-review"))</f>
        <v/>
      </c>
    </row>
    <row r="187">
      <c r="A187" t="str">
        <f>IF('03_EXECUTION_LOG'!A187="","",'03_EXECUTION_LOG'!A187)</f>
        <v/>
      </c>
      <c r="B187" t="str">
        <f>IF('03_EXECUTION_LOG'!B187="","",LEFT('03_EXECUTION_LOG'!B187,7))</f>
        <v/>
      </c>
      <c r="C187" t="str">
        <f>IF('03_EXECUTION_LOG'!E187="","",'03_EXECUTION_LOG'!E187)</f>
        <v/>
      </c>
      <c r="D187" t="str">
        <f>IF(C187="","",INDEX('02_TASK_CATALOG'!E:E,MATCH(C187,'02_TASK_CATALOG'!A:A,0)))</f>
        <v/>
      </c>
      <c r="E187">
        <f>IF(C187="","",INDEX('02_TASK_CATALOG'!F:F,MATCH(C187,'02_TASK_CATALOG'!A:A,0)))</f>
        <v>0</v>
      </c>
      <c r="F187">
        <f>IF(C187="","",INDEX('02_TASK_CATALOG'!G:G,MATCH(C187,'02_TASK_CATALOG'!A:A,0)))</f>
        <v>0</v>
      </c>
      <c r="G187">
        <f>IF(C187="","",INDEX('02_TASK_CATALOG'!H:H,MATCH(C187,'02_TASK_CATALOG'!A:A,0)))</f>
        <v>0</v>
      </c>
      <c r="H187">
        <f>IF(A187="","",MAX(0,E187-F187-G187))</f>
        <v>0</v>
      </c>
      <c r="I187">
        <f>IF(A187="","",H187*IF('03_EXECUTION_LOG'!H187="",1,'03_EXECUTION_LOG'!H187)/60)</f>
        <v>0</v>
      </c>
      <c r="J187">
        <f>IF(D187="","",INDEX('01_ASSUMPTIONS'!C:C,MATCH(D187,'01_ASSUMPTIONS'!A:A,0)))</f>
        <v>0</v>
      </c>
      <c r="K187">
        <f>IF(OR(A187="",L187&lt;&gt;TRUE),0,I187*J187)</f>
        <v>0</v>
      </c>
      <c r="L187" t="b">
        <f>IF(A187="","",AND('03_EXECUTION_LOG'!F187="success",INDEX('02_TASK_CATALOG'!J:J,MATCH(C187,'02_TASK_CATALOG'!A:A,0))=TRUE,H187&gt;0,J187&gt;0,'03_EXECUTION_LOG'!J187&lt;&gt;""))</f>
        <v>0</v>
      </c>
      <c r="M187" t="str">
        <f>IF(A187="","",IF('03_EXECUTION_LOG'!F187&lt;&gt;"success","non-success status",IF(INDEX('02_TASK_CATALOG'!J:J,MATCH(C187,'02_TASK_CATALOG'!A:A,0))&lt;&gt;TRUE,"task not approved",IF(H187&lt;=0,"no net time saved",IF(J187&lt;=0,"missing labor rate",IF('03_EXECUTION_LOG'!J187="","missing evidence",""))))))</f>
        <v/>
      </c>
      <c r="N187" t="str">
        <f>IF(A187="","",IF(AND(L187=TRUE,'03_EXECUTION_LOG'!I187=FALSE),"high",IF(AND(L187=TRUE,'03_EXECUTION_LOG'!I187=TRUE),"medium","low")))</f>
        <v/>
      </c>
      <c r="O187" t="str">
        <f>IF(A187="","",IF(AND(L187=TRUE,'03_EXECUTION_LOG'!J187&lt;&gt;""),"yes","needs-review"))</f>
        <v/>
      </c>
    </row>
    <row r="188">
      <c r="A188" t="str">
        <f>IF('03_EXECUTION_LOG'!A188="","",'03_EXECUTION_LOG'!A188)</f>
        <v/>
      </c>
      <c r="B188" t="str">
        <f>IF('03_EXECUTION_LOG'!B188="","",LEFT('03_EXECUTION_LOG'!B188,7))</f>
        <v/>
      </c>
      <c r="C188" t="str">
        <f>IF('03_EXECUTION_LOG'!E188="","",'03_EXECUTION_LOG'!E188)</f>
        <v/>
      </c>
      <c r="D188" t="str">
        <f>IF(C188="","",INDEX('02_TASK_CATALOG'!E:E,MATCH(C188,'02_TASK_CATALOG'!A:A,0)))</f>
        <v/>
      </c>
      <c r="E188">
        <f>IF(C188="","",INDEX('02_TASK_CATALOG'!F:F,MATCH(C188,'02_TASK_CATALOG'!A:A,0)))</f>
        <v>0</v>
      </c>
      <c r="F188">
        <f>IF(C188="","",INDEX('02_TASK_CATALOG'!G:G,MATCH(C188,'02_TASK_CATALOG'!A:A,0)))</f>
        <v>0</v>
      </c>
      <c r="G188">
        <f>IF(C188="","",INDEX('02_TASK_CATALOG'!H:H,MATCH(C188,'02_TASK_CATALOG'!A:A,0)))</f>
        <v>0</v>
      </c>
      <c r="H188">
        <f>IF(A188="","",MAX(0,E188-F188-G188))</f>
        <v>0</v>
      </c>
      <c r="I188">
        <f>IF(A188="","",H188*IF('03_EXECUTION_LOG'!H188="",1,'03_EXECUTION_LOG'!H188)/60)</f>
        <v>0</v>
      </c>
      <c r="J188">
        <f>IF(D188="","",INDEX('01_ASSUMPTIONS'!C:C,MATCH(D188,'01_ASSUMPTIONS'!A:A,0)))</f>
        <v>0</v>
      </c>
      <c r="K188">
        <f>IF(OR(A188="",L188&lt;&gt;TRUE),0,I188*J188)</f>
        <v>0</v>
      </c>
      <c r="L188" t="b">
        <f>IF(A188="","",AND('03_EXECUTION_LOG'!F188="success",INDEX('02_TASK_CATALOG'!J:J,MATCH(C188,'02_TASK_CATALOG'!A:A,0))=TRUE,H188&gt;0,J188&gt;0,'03_EXECUTION_LOG'!J188&lt;&gt;""))</f>
        <v>0</v>
      </c>
      <c r="M188" t="str">
        <f>IF(A188="","",IF('03_EXECUTION_LOG'!F188&lt;&gt;"success","non-success status",IF(INDEX('02_TASK_CATALOG'!J:J,MATCH(C188,'02_TASK_CATALOG'!A:A,0))&lt;&gt;TRUE,"task not approved",IF(H188&lt;=0,"no net time saved",IF(J188&lt;=0,"missing labor rate",IF('03_EXECUTION_LOG'!J188="","missing evidence",""))))))</f>
        <v/>
      </c>
      <c r="N188" t="str">
        <f>IF(A188="","",IF(AND(L188=TRUE,'03_EXECUTION_LOG'!I188=FALSE),"high",IF(AND(L188=TRUE,'03_EXECUTION_LOG'!I188=TRUE),"medium","low")))</f>
        <v/>
      </c>
      <c r="O188" t="str">
        <f>IF(A188="","",IF(AND(L188=TRUE,'03_EXECUTION_LOG'!J188&lt;&gt;""),"yes","needs-review"))</f>
        <v/>
      </c>
    </row>
    <row r="189">
      <c r="A189" t="str">
        <f>IF('03_EXECUTION_LOG'!A189="","",'03_EXECUTION_LOG'!A189)</f>
        <v/>
      </c>
      <c r="B189" t="str">
        <f>IF('03_EXECUTION_LOG'!B189="","",LEFT('03_EXECUTION_LOG'!B189,7))</f>
        <v/>
      </c>
      <c r="C189" t="str">
        <f>IF('03_EXECUTION_LOG'!E189="","",'03_EXECUTION_LOG'!E189)</f>
        <v/>
      </c>
      <c r="D189" t="str">
        <f>IF(C189="","",INDEX('02_TASK_CATALOG'!E:E,MATCH(C189,'02_TASK_CATALOG'!A:A,0)))</f>
        <v/>
      </c>
      <c r="E189">
        <f>IF(C189="","",INDEX('02_TASK_CATALOG'!F:F,MATCH(C189,'02_TASK_CATALOG'!A:A,0)))</f>
        <v>0</v>
      </c>
      <c r="F189">
        <f>IF(C189="","",INDEX('02_TASK_CATALOG'!G:G,MATCH(C189,'02_TASK_CATALOG'!A:A,0)))</f>
        <v>0</v>
      </c>
      <c r="G189">
        <f>IF(C189="","",INDEX('02_TASK_CATALOG'!H:H,MATCH(C189,'02_TASK_CATALOG'!A:A,0)))</f>
        <v>0</v>
      </c>
      <c r="H189">
        <f>IF(A189="","",MAX(0,E189-F189-G189))</f>
        <v>0</v>
      </c>
      <c r="I189">
        <f>IF(A189="","",H189*IF('03_EXECUTION_LOG'!H189="",1,'03_EXECUTION_LOG'!H189)/60)</f>
        <v>0</v>
      </c>
      <c r="J189">
        <f>IF(D189="","",INDEX('01_ASSUMPTIONS'!C:C,MATCH(D189,'01_ASSUMPTIONS'!A:A,0)))</f>
        <v>0</v>
      </c>
      <c r="K189">
        <f>IF(OR(A189="",L189&lt;&gt;TRUE),0,I189*J189)</f>
        <v>0</v>
      </c>
      <c r="L189" t="b">
        <f>IF(A189="","",AND('03_EXECUTION_LOG'!F189="success",INDEX('02_TASK_CATALOG'!J:J,MATCH(C189,'02_TASK_CATALOG'!A:A,0))=TRUE,H189&gt;0,J189&gt;0,'03_EXECUTION_LOG'!J189&lt;&gt;""))</f>
        <v>0</v>
      </c>
      <c r="M189" t="str">
        <f>IF(A189="","",IF('03_EXECUTION_LOG'!F189&lt;&gt;"success","non-success status",IF(INDEX('02_TASK_CATALOG'!J:J,MATCH(C189,'02_TASK_CATALOG'!A:A,0))&lt;&gt;TRUE,"task not approved",IF(H189&lt;=0,"no net time saved",IF(J189&lt;=0,"missing labor rate",IF('03_EXECUTION_LOG'!J189="","missing evidence",""))))))</f>
        <v/>
      </c>
      <c r="N189" t="str">
        <f>IF(A189="","",IF(AND(L189=TRUE,'03_EXECUTION_LOG'!I189=FALSE),"high",IF(AND(L189=TRUE,'03_EXECUTION_LOG'!I189=TRUE),"medium","low")))</f>
        <v/>
      </c>
      <c r="O189" t="str">
        <f>IF(A189="","",IF(AND(L189=TRUE,'03_EXECUTION_LOG'!J189&lt;&gt;""),"yes","needs-review"))</f>
        <v/>
      </c>
    </row>
    <row r="190">
      <c r="A190" t="str">
        <f>IF('03_EXECUTION_LOG'!A190="","",'03_EXECUTION_LOG'!A190)</f>
        <v/>
      </c>
      <c r="B190" t="str">
        <f>IF('03_EXECUTION_LOG'!B190="","",LEFT('03_EXECUTION_LOG'!B190,7))</f>
        <v/>
      </c>
      <c r="C190" t="str">
        <f>IF('03_EXECUTION_LOG'!E190="","",'03_EXECUTION_LOG'!E190)</f>
        <v/>
      </c>
      <c r="D190" t="str">
        <f>IF(C190="","",INDEX('02_TASK_CATALOG'!E:E,MATCH(C190,'02_TASK_CATALOG'!A:A,0)))</f>
        <v/>
      </c>
      <c r="E190">
        <f>IF(C190="","",INDEX('02_TASK_CATALOG'!F:F,MATCH(C190,'02_TASK_CATALOG'!A:A,0)))</f>
        <v>0</v>
      </c>
      <c r="F190">
        <f>IF(C190="","",INDEX('02_TASK_CATALOG'!G:G,MATCH(C190,'02_TASK_CATALOG'!A:A,0)))</f>
        <v>0</v>
      </c>
      <c r="G190">
        <f>IF(C190="","",INDEX('02_TASK_CATALOG'!H:H,MATCH(C190,'02_TASK_CATALOG'!A:A,0)))</f>
        <v>0</v>
      </c>
      <c r="H190">
        <f>IF(A190="","",MAX(0,E190-F190-G190))</f>
        <v>0</v>
      </c>
      <c r="I190">
        <f>IF(A190="","",H190*IF('03_EXECUTION_LOG'!H190="",1,'03_EXECUTION_LOG'!H190)/60)</f>
        <v>0</v>
      </c>
      <c r="J190">
        <f>IF(D190="","",INDEX('01_ASSUMPTIONS'!C:C,MATCH(D190,'01_ASSUMPTIONS'!A:A,0)))</f>
        <v>0</v>
      </c>
      <c r="K190">
        <f>IF(OR(A190="",L190&lt;&gt;TRUE),0,I190*J190)</f>
        <v>0</v>
      </c>
      <c r="L190" t="b">
        <f>IF(A190="","",AND('03_EXECUTION_LOG'!F190="success",INDEX('02_TASK_CATALOG'!J:J,MATCH(C190,'02_TASK_CATALOG'!A:A,0))=TRUE,H190&gt;0,J190&gt;0,'03_EXECUTION_LOG'!J190&lt;&gt;""))</f>
        <v>0</v>
      </c>
      <c r="M190" t="str">
        <f>IF(A190="","",IF('03_EXECUTION_LOG'!F190&lt;&gt;"success","non-success status",IF(INDEX('02_TASK_CATALOG'!J:J,MATCH(C190,'02_TASK_CATALOG'!A:A,0))&lt;&gt;TRUE,"task not approved",IF(H190&lt;=0,"no net time saved",IF(J190&lt;=0,"missing labor rate",IF('03_EXECUTION_LOG'!J190="","missing evidence",""))))))</f>
        <v/>
      </c>
      <c r="N190" t="str">
        <f>IF(A190="","",IF(AND(L190=TRUE,'03_EXECUTION_LOG'!I190=FALSE),"high",IF(AND(L190=TRUE,'03_EXECUTION_LOG'!I190=TRUE),"medium","low")))</f>
        <v/>
      </c>
      <c r="O190" t="str">
        <f>IF(A190="","",IF(AND(L190=TRUE,'03_EXECUTION_LOG'!J190&lt;&gt;""),"yes","needs-review"))</f>
        <v/>
      </c>
    </row>
    <row r="191">
      <c r="A191" t="str">
        <f>IF('03_EXECUTION_LOG'!A191="","",'03_EXECUTION_LOG'!A191)</f>
        <v/>
      </c>
      <c r="B191" t="str">
        <f>IF('03_EXECUTION_LOG'!B191="","",LEFT('03_EXECUTION_LOG'!B191,7))</f>
        <v/>
      </c>
      <c r="C191" t="str">
        <f>IF('03_EXECUTION_LOG'!E191="","",'03_EXECUTION_LOG'!E191)</f>
        <v/>
      </c>
      <c r="D191" t="str">
        <f>IF(C191="","",INDEX('02_TASK_CATALOG'!E:E,MATCH(C191,'02_TASK_CATALOG'!A:A,0)))</f>
        <v/>
      </c>
      <c r="E191">
        <f>IF(C191="","",INDEX('02_TASK_CATALOG'!F:F,MATCH(C191,'02_TASK_CATALOG'!A:A,0)))</f>
        <v>0</v>
      </c>
      <c r="F191">
        <f>IF(C191="","",INDEX('02_TASK_CATALOG'!G:G,MATCH(C191,'02_TASK_CATALOG'!A:A,0)))</f>
        <v>0</v>
      </c>
      <c r="G191">
        <f>IF(C191="","",INDEX('02_TASK_CATALOG'!H:H,MATCH(C191,'02_TASK_CATALOG'!A:A,0)))</f>
        <v>0</v>
      </c>
      <c r="H191">
        <f>IF(A191="","",MAX(0,E191-F191-G191))</f>
        <v>0</v>
      </c>
      <c r="I191">
        <f>IF(A191="","",H191*IF('03_EXECUTION_LOG'!H191="",1,'03_EXECUTION_LOG'!H191)/60)</f>
        <v>0</v>
      </c>
      <c r="J191">
        <f>IF(D191="","",INDEX('01_ASSUMPTIONS'!C:C,MATCH(D191,'01_ASSUMPTIONS'!A:A,0)))</f>
        <v>0</v>
      </c>
      <c r="K191">
        <f>IF(OR(A191="",L191&lt;&gt;TRUE),0,I191*J191)</f>
        <v>0</v>
      </c>
      <c r="L191" t="b">
        <f>IF(A191="","",AND('03_EXECUTION_LOG'!F191="success",INDEX('02_TASK_CATALOG'!J:J,MATCH(C191,'02_TASK_CATALOG'!A:A,0))=TRUE,H191&gt;0,J191&gt;0,'03_EXECUTION_LOG'!J191&lt;&gt;""))</f>
        <v>0</v>
      </c>
      <c r="M191" t="str">
        <f>IF(A191="","",IF('03_EXECUTION_LOG'!F191&lt;&gt;"success","non-success status",IF(INDEX('02_TASK_CATALOG'!J:J,MATCH(C191,'02_TASK_CATALOG'!A:A,0))&lt;&gt;TRUE,"task not approved",IF(H191&lt;=0,"no net time saved",IF(J191&lt;=0,"missing labor rate",IF('03_EXECUTION_LOG'!J191="","missing evidence",""))))))</f>
        <v/>
      </c>
      <c r="N191" t="str">
        <f>IF(A191="","",IF(AND(L191=TRUE,'03_EXECUTION_LOG'!I191=FALSE),"high",IF(AND(L191=TRUE,'03_EXECUTION_LOG'!I191=TRUE),"medium","low")))</f>
        <v/>
      </c>
      <c r="O191" t="str">
        <f>IF(A191="","",IF(AND(L191=TRUE,'03_EXECUTION_LOG'!J191&lt;&gt;""),"yes","needs-review"))</f>
        <v/>
      </c>
    </row>
    <row r="192">
      <c r="A192" t="str">
        <f>IF('03_EXECUTION_LOG'!A192="","",'03_EXECUTION_LOG'!A192)</f>
        <v/>
      </c>
      <c r="B192" t="str">
        <f>IF('03_EXECUTION_LOG'!B192="","",LEFT('03_EXECUTION_LOG'!B192,7))</f>
        <v/>
      </c>
      <c r="C192" t="str">
        <f>IF('03_EXECUTION_LOG'!E192="","",'03_EXECUTION_LOG'!E192)</f>
        <v/>
      </c>
      <c r="D192" t="str">
        <f>IF(C192="","",INDEX('02_TASK_CATALOG'!E:E,MATCH(C192,'02_TASK_CATALOG'!A:A,0)))</f>
        <v/>
      </c>
      <c r="E192">
        <f>IF(C192="","",INDEX('02_TASK_CATALOG'!F:F,MATCH(C192,'02_TASK_CATALOG'!A:A,0)))</f>
        <v>0</v>
      </c>
      <c r="F192">
        <f>IF(C192="","",INDEX('02_TASK_CATALOG'!G:G,MATCH(C192,'02_TASK_CATALOG'!A:A,0)))</f>
        <v>0</v>
      </c>
      <c r="G192">
        <f>IF(C192="","",INDEX('02_TASK_CATALOG'!H:H,MATCH(C192,'02_TASK_CATALOG'!A:A,0)))</f>
        <v>0</v>
      </c>
      <c r="H192">
        <f>IF(A192="","",MAX(0,E192-F192-G192))</f>
        <v>0</v>
      </c>
      <c r="I192">
        <f>IF(A192="","",H192*IF('03_EXECUTION_LOG'!H192="",1,'03_EXECUTION_LOG'!H192)/60)</f>
        <v>0</v>
      </c>
      <c r="J192">
        <f>IF(D192="","",INDEX('01_ASSUMPTIONS'!C:C,MATCH(D192,'01_ASSUMPTIONS'!A:A,0)))</f>
        <v>0</v>
      </c>
      <c r="K192">
        <f>IF(OR(A192="",L192&lt;&gt;TRUE),0,I192*J192)</f>
        <v>0</v>
      </c>
      <c r="L192" t="b">
        <f>IF(A192="","",AND('03_EXECUTION_LOG'!F192="success",INDEX('02_TASK_CATALOG'!J:J,MATCH(C192,'02_TASK_CATALOG'!A:A,0))=TRUE,H192&gt;0,J192&gt;0,'03_EXECUTION_LOG'!J192&lt;&gt;""))</f>
        <v>0</v>
      </c>
      <c r="M192" t="str">
        <f>IF(A192="","",IF('03_EXECUTION_LOG'!F192&lt;&gt;"success","non-success status",IF(INDEX('02_TASK_CATALOG'!J:J,MATCH(C192,'02_TASK_CATALOG'!A:A,0))&lt;&gt;TRUE,"task not approved",IF(H192&lt;=0,"no net time saved",IF(J192&lt;=0,"missing labor rate",IF('03_EXECUTION_LOG'!J192="","missing evidence",""))))))</f>
        <v/>
      </c>
      <c r="N192" t="str">
        <f>IF(A192="","",IF(AND(L192=TRUE,'03_EXECUTION_LOG'!I192=FALSE),"high",IF(AND(L192=TRUE,'03_EXECUTION_LOG'!I192=TRUE),"medium","low")))</f>
        <v/>
      </c>
      <c r="O192" t="str">
        <f>IF(A192="","",IF(AND(L192=TRUE,'03_EXECUTION_LOG'!J192&lt;&gt;""),"yes","needs-review"))</f>
        <v/>
      </c>
    </row>
    <row r="193">
      <c r="A193" t="str">
        <f>IF('03_EXECUTION_LOG'!A193="","",'03_EXECUTION_LOG'!A193)</f>
        <v/>
      </c>
      <c r="B193" t="str">
        <f>IF('03_EXECUTION_LOG'!B193="","",LEFT('03_EXECUTION_LOG'!B193,7))</f>
        <v/>
      </c>
      <c r="C193" t="str">
        <f>IF('03_EXECUTION_LOG'!E193="","",'03_EXECUTION_LOG'!E193)</f>
        <v/>
      </c>
      <c r="D193" t="str">
        <f>IF(C193="","",INDEX('02_TASK_CATALOG'!E:E,MATCH(C193,'02_TASK_CATALOG'!A:A,0)))</f>
        <v/>
      </c>
      <c r="E193">
        <f>IF(C193="","",INDEX('02_TASK_CATALOG'!F:F,MATCH(C193,'02_TASK_CATALOG'!A:A,0)))</f>
        <v>0</v>
      </c>
      <c r="F193">
        <f>IF(C193="","",INDEX('02_TASK_CATALOG'!G:G,MATCH(C193,'02_TASK_CATALOG'!A:A,0)))</f>
        <v>0</v>
      </c>
      <c r="G193">
        <f>IF(C193="","",INDEX('02_TASK_CATALOG'!H:H,MATCH(C193,'02_TASK_CATALOG'!A:A,0)))</f>
        <v>0</v>
      </c>
      <c r="H193">
        <f>IF(A193="","",MAX(0,E193-F193-G193))</f>
        <v>0</v>
      </c>
      <c r="I193">
        <f>IF(A193="","",H193*IF('03_EXECUTION_LOG'!H193="",1,'03_EXECUTION_LOG'!H193)/60)</f>
        <v>0</v>
      </c>
      <c r="J193">
        <f>IF(D193="","",INDEX('01_ASSUMPTIONS'!C:C,MATCH(D193,'01_ASSUMPTIONS'!A:A,0)))</f>
        <v>0</v>
      </c>
      <c r="K193">
        <f>IF(OR(A193="",L193&lt;&gt;TRUE),0,I193*J193)</f>
        <v>0</v>
      </c>
      <c r="L193" t="b">
        <f>IF(A193="","",AND('03_EXECUTION_LOG'!F193="success",INDEX('02_TASK_CATALOG'!J:J,MATCH(C193,'02_TASK_CATALOG'!A:A,0))=TRUE,H193&gt;0,J193&gt;0,'03_EXECUTION_LOG'!J193&lt;&gt;""))</f>
        <v>0</v>
      </c>
      <c r="M193" t="str">
        <f>IF(A193="","",IF('03_EXECUTION_LOG'!F193&lt;&gt;"success","non-success status",IF(INDEX('02_TASK_CATALOG'!J:J,MATCH(C193,'02_TASK_CATALOG'!A:A,0))&lt;&gt;TRUE,"task not approved",IF(H193&lt;=0,"no net time saved",IF(J193&lt;=0,"missing labor rate",IF('03_EXECUTION_LOG'!J193="","missing evidence",""))))))</f>
        <v/>
      </c>
      <c r="N193" t="str">
        <f>IF(A193="","",IF(AND(L193=TRUE,'03_EXECUTION_LOG'!I193=FALSE),"high",IF(AND(L193=TRUE,'03_EXECUTION_LOG'!I193=TRUE),"medium","low")))</f>
        <v/>
      </c>
      <c r="O193" t="str">
        <f>IF(A193="","",IF(AND(L193=TRUE,'03_EXECUTION_LOG'!J193&lt;&gt;""),"yes","needs-review"))</f>
        <v/>
      </c>
    </row>
    <row r="194">
      <c r="A194" t="str">
        <f>IF('03_EXECUTION_LOG'!A194="","",'03_EXECUTION_LOG'!A194)</f>
        <v/>
      </c>
      <c r="B194" t="str">
        <f>IF('03_EXECUTION_LOG'!B194="","",LEFT('03_EXECUTION_LOG'!B194,7))</f>
        <v/>
      </c>
      <c r="C194" t="str">
        <f>IF('03_EXECUTION_LOG'!E194="","",'03_EXECUTION_LOG'!E194)</f>
        <v/>
      </c>
      <c r="D194" t="str">
        <f>IF(C194="","",INDEX('02_TASK_CATALOG'!E:E,MATCH(C194,'02_TASK_CATALOG'!A:A,0)))</f>
        <v/>
      </c>
      <c r="E194">
        <f>IF(C194="","",INDEX('02_TASK_CATALOG'!F:F,MATCH(C194,'02_TASK_CATALOG'!A:A,0)))</f>
        <v>0</v>
      </c>
      <c r="F194">
        <f>IF(C194="","",INDEX('02_TASK_CATALOG'!G:G,MATCH(C194,'02_TASK_CATALOG'!A:A,0)))</f>
        <v>0</v>
      </c>
      <c r="G194">
        <f>IF(C194="","",INDEX('02_TASK_CATALOG'!H:H,MATCH(C194,'02_TASK_CATALOG'!A:A,0)))</f>
        <v>0</v>
      </c>
      <c r="H194">
        <f>IF(A194="","",MAX(0,E194-F194-G194))</f>
        <v>0</v>
      </c>
      <c r="I194">
        <f>IF(A194="","",H194*IF('03_EXECUTION_LOG'!H194="",1,'03_EXECUTION_LOG'!H194)/60)</f>
        <v>0</v>
      </c>
      <c r="J194">
        <f>IF(D194="","",INDEX('01_ASSUMPTIONS'!C:C,MATCH(D194,'01_ASSUMPTIONS'!A:A,0)))</f>
        <v>0</v>
      </c>
      <c r="K194">
        <f>IF(OR(A194="",L194&lt;&gt;TRUE),0,I194*J194)</f>
        <v>0</v>
      </c>
      <c r="L194" t="b">
        <f>IF(A194="","",AND('03_EXECUTION_LOG'!F194="success",INDEX('02_TASK_CATALOG'!J:J,MATCH(C194,'02_TASK_CATALOG'!A:A,0))=TRUE,H194&gt;0,J194&gt;0,'03_EXECUTION_LOG'!J194&lt;&gt;""))</f>
        <v>0</v>
      </c>
      <c r="M194" t="str">
        <f>IF(A194="","",IF('03_EXECUTION_LOG'!F194&lt;&gt;"success","non-success status",IF(INDEX('02_TASK_CATALOG'!J:J,MATCH(C194,'02_TASK_CATALOG'!A:A,0))&lt;&gt;TRUE,"task not approved",IF(H194&lt;=0,"no net time saved",IF(J194&lt;=0,"missing labor rate",IF('03_EXECUTION_LOG'!J194="","missing evidence",""))))))</f>
        <v/>
      </c>
      <c r="N194" t="str">
        <f>IF(A194="","",IF(AND(L194=TRUE,'03_EXECUTION_LOG'!I194=FALSE),"high",IF(AND(L194=TRUE,'03_EXECUTION_LOG'!I194=TRUE),"medium","low")))</f>
        <v/>
      </c>
      <c r="O194" t="str">
        <f>IF(A194="","",IF(AND(L194=TRUE,'03_EXECUTION_LOG'!J194&lt;&gt;""),"yes","needs-review"))</f>
        <v/>
      </c>
    </row>
    <row r="195">
      <c r="A195" t="str">
        <f>IF('03_EXECUTION_LOG'!A195="","",'03_EXECUTION_LOG'!A195)</f>
        <v/>
      </c>
      <c r="B195" t="str">
        <f>IF('03_EXECUTION_LOG'!B195="","",LEFT('03_EXECUTION_LOG'!B195,7))</f>
        <v/>
      </c>
      <c r="C195" t="str">
        <f>IF('03_EXECUTION_LOG'!E195="","",'03_EXECUTION_LOG'!E195)</f>
        <v/>
      </c>
      <c r="D195" t="str">
        <f>IF(C195="","",INDEX('02_TASK_CATALOG'!E:E,MATCH(C195,'02_TASK_CATALOG'!A:A,0)))</f>
        <v/>
      </c>
      <c r="E195">
        <f>IF(C195="","",INDEX('02_TASK_CATALOG'!F:F,MATCH(C195,'02_TASK_CATALOG'!A:A,0)))</f>
        <v>0</v>
      </c>
      <c r="F195">
        <f>IF(C195="","",INDEX('02_TASK_CATALOG'!G:G,MATCH(C195,'02_TASK_CATALOG'!A:A,0)))</f>
        <v>0</v>
      </c>
      <c r="G195">
        <f>IF(C195="","",INDEX('02_TASK_CATALOG'!H:H,MATCH(C195,'02_TASK_CATALOG'!A:A,0)))</f>
        <v>0</v>
      </c>
      <c r="H195">
        <f>IF(A195="","",MAX(0,E195-F195-G195))</f>
        <v>0</v>
      </c>
      <c r="I195">
        <f>IF(A195="","",H195*IF('03_EXECUTION_LOG'!H195="",1,'03_EXECUTION_LOG'!H195)/60)</f>
        <v>0</v>
      </c>
      <c r="J195">
        <f>IF(D195="","",INDEX('01_ASSUMPTIONS'!C:C,MATCH(D195,'01_ASSUMPTIONS'!A:A,0)))</f>
        <v>0</v>
      </c>
      <c r="K195">
        <f>IF(OR(A195="",L195&lt;&gt;TRUE),0,I195*J195)</f>
        <v>0</v>
      </c>
      <c r="L195" t="b">
        <f>IF(A195="","",AND('03_EXECUTION_LOG'!F195="success",INDEX('02_TASK_CATALOG'!J:J,MATCH(C195,'02_TASK_CATALOG'!A:A,0))=TRUE,H195&gt;0,J195&gt;0,'03_EXECUTION_LOG'!J195&lt;&gt;""))</f>
        <v>0</v>
      </c>
      <c r="M195" t="str">
        <f>IF(A195="","",IF('03_EXECUTION_LOG'!F195&lt;&gt;"success","non-success status",IF(INDEX('02_TASK_CATALOG'!J:J,MATCH(C195,'02_TASK_CATALOG'!A:A,0))&lt;&gt;TRUE,"task not approved",IF(H195&lt;=0,"no net time saved",IF(J195&lt;=0,"missing labor rate",IF('03_EXECUTION_LOG'!J195="","missing evidence",""))))))</f>
        <v/>
      </c>
      <c r="N195" t="str">
        <f>IF(A195="","",IF(AND(L195=TRUE,'03_EXECUTION_LOG'!I195=FALSE),"high",IF(AND(L195=TRUE,'03_EXECUTION_LOG'!I195=TRUE),"medium","low")))</f>
        <v/>
      </c>
      <c r="O195" t="str">
        <f>IF(A195="","",IF(AND(L195=TRUE,'03_EXECUTION_LOG'!J195&lt;&gt;""),"yes","needs-review"))</f>
        <v/>
      </c>
    </row>
    <row r="196">
      <c r="A196" t="str">
        <f>IF('03_EXECUTION_LOG'!A196="","",'03_EXECUTION_LOG'!A196)</f>
        <v/>
      </c>
      <c r="B196" t="str">
        <f>IF('03_EXECUTION_LOG'!B196="","",LEFT('03_EXECUTION_LOG'!B196,7))</f>
        <v/>
      </c>
      <c r="C196" t="str">
        <f>IF('03_EXECUTION_LOG'!E196="","",'03_EXECUTION_LOG'!E196)</f>
        <v/>
      </c>
      <c r="D196" t="str">
        <f>IF(C196="","",INDEX('02_TASK_CATALOG'!E:E,MATCH(C196,'02_TASK_CATALOG'!A:A,0)))</f>
        <v/>
      </c>
      <c r="E196">
        <f>IF(C196="","",INDEX('02_TASK_CATALOG'!F:F,MATCH(C196,'02_TASK_CATALOG'!A:A,0)))</f>
        <v>0</v>
      </c>
      <c r="F196">
        <f>IF(C196="","",INDEX('02_TASK_CATALOG'!G:G,MATCH(C196,'02_TASK_CATALOG'!A:A,0)))</f>
        <v>0</v>
      </c>
      <c r="G196">
        <f>IF(C196="","",INDEX('02_TASK_CATALOG'!H:H,MATCH(C196,'02_TASK_CATALOG'!A:A,0)))</f>
        <v>0</v>
      </c>
      <c r="H196">
        <f>IF(A196="","",MAX(0,E196-F196-G196))</f>
        <v>0</v>
      </c>
      <c r="I196">
        <f>IF(A196="","",H196*IF('03_EXECUTION_LOG'!H196="",1,'03_EXECUTION_LOG'!H196)/60)</f>
        <v>0</v>
      </c>
      <c r="J196">
        <f>IF(D196="","",INDEX('01_ASSUMPTIONS'!C:C,MATCH(D196,'01_ASSUMPTIONS'!A:A,0)))</f>
        <v>0</v>
      </c>
      <c r="K196">
        <f>IF(OR(A196="",L196&lt;&gt;TRUE),0,I196*J196)</f>
        <v>0</v>
      </c>
      <c r="L196" t="b">
        <f>IF(A196="","",AND('03_EXECUTION_LOG'!F196="success",INDEX('02_TASK_CATALOG'!J:J,MATCH(C196,'02_TASK_CATALOG'!A:A,0))=TRUE,H196&gt;0,J196&gt;0,'03_EXECUTION_LOG'!J196&lt;&gt;""))</f>
        <v>0</v>
      </c>
      <c r="M196" t="str">
        <f>IF(A196="","",IF('03_EXECUTION_LOG'!F196&lt;&gt;"success","non-success status",IF(INDEX('02_TASK_CATALOG'!J:J,MATCH(C196,'02_TASK_CATALOG'!A:A,0))&lt;&gt;TRUE,"task not approved",IF(H196&lt;=0,"no net time saved",IF(J196&lt;=0,"missing labor rate",IF('03_EXECUTION_LOG'!J196="","missing evidence",""))))))</f>
        <v/>
      </c>
      <c r="N196" t="str">
        <f>IF(A196="","",IF(AND(L196=TRUE,'03_EXECUTION_LOG'!I196=FALSE),"high",IF(AND(L196=TRUE,'03_EXECUTION_LOG'!I196=TRUE),"medium","low")))</f>
        <v/>
      </c>
      <c r="O196" t="str">
        <f>IF(A196="","",IF(AND(L196=TRUE,'03_EXECUTION_LOG'!J196&lt;&gt;""),"yes","needs-review"))</f>
        <v/>
      </c>
    </row>
    <row r="197">
      <c r="A197" t="str">
        <f>IF('03_EXECUTION_LOG'!A197="","",'03_EXECUTION_LOG'!A197)</f>
        <v/>
      </c>
      <c r="B197" t="str">
        <f>IF('03_EXECUTION_LOG'!B197="","",LEFT('03_EXECUTION_LOG'!B197,7))</f>
        <v/>
      </c>
      <c r="C197" t="str">
        <f>IF('03_EXECUTION_LOG'!E197="","",'03_EXECUTION_LOG'!E197)</f>
        <v/>
      </c>
      <c r="D197" t="str">
        <f>IF(C197="","",INDEX('02_TASK_CATALOG'!E:E,MATCH(C197,'02_TASK_CATALOG'!A:A,0)))</f>
        <v/>
      </c>
      <c r="E197">
        <f>IF(C197="","",INDEX('02_TASK_CATALOG'!F:F,MATCH(C197,'02_TASK_CATALOG'!A:A,0)))</f>
        <v>0</v>
      </c>
      <c r="F197">
        <f>IF(C197="","",INDEX('02_TASK_CATALOG'!G:G,MATCH(C197,'02_TASK_CATALOG'!A:A,0)))</f>
        <v>0</v>
      </c>
      <c r="G197">
        <f>IF(C197="","",INDEX('02_TASK_CATALOG'!H:H,MATCH(C197,'02_TASK_CATALOG'!A:A,0)))</f>
        <v>0</v>
      </c>
      <c r="H197">
        <f>IF(A197="","",MAX(0,E197-F197-G197))</f>
        <v>0</v>
      </c>
      <c r="I197">
        <f>IF(A197="","",H197*IF('03_EXECUTION_LOG'!H197="",1,'03_EXECUTION_LOG'!H197)/60)</f>
        <v>0</v>
      </c>
      <c r="J197">
        <f>IF(D197="","",INDEX('01_ASSUMPTIONS'!C:C,MATCH(D197,'01_ASSUMPTIONS'!A:A,0)))</f>
        <v>0</v>
      </c>
      <c r="K197">
        <f>IF(OR(A197="",L197&lt;&gt;TRUE),0,I197*J197)</f>
        <v>0</v>
      </c>
      <c r="L197" t="b">
        <f>IF(A197="","",AND('03_EXECUTION_LOG'!F197="success",INDEX('02_TASK_CATALOG'!J:J,MATCH(C197,'02_TASK_CATALOG'!A:A,0))=TRUE,H197&gt;0,J197&gt;0,'03_EXECUTION_LOG'!J197&lt;&gt;""))</f>
        <v>0</v>
      </c>
      <c r="M197" t="str">
        <f>IF(A197="","",IF('03_EXECUTION_LOG'!F197&lt;&gt;"success","non-success status",IF(INDEX('02_TASK_CATALOG'!J:J,MATCH(C197,'02_TASK_CATALOG'!A:A,0))&lt;&gt;TRUE,"task not approved",IF(H197&lt;=0,"no net time saved",IF(J197&lt;=0,"missing labor rate",IF('03_EXECUTION_LOG'!J197="","missing evidence",""))))))</f>
        <v/>
      </c>
      <c r="N197" t="str">
        <f>IF(A197="","",IF(AND(L197=TRUE,'03_EXECUTION_LOG'!I197=FALSE),"high",IF(AND(L197=TRUE,'03_EXECUTION_LOG'!I197=TRUE),"medium","low")))</f>
        <v/>
      </c>
      <c r="O197" t="str">
        <f>IF(A197="","",IF(AND(L197=TRUE,'03_EXECUTION_LOG'!J197&lt;&gt;""),"yes","needs-review"))</f>
        <v/>
      </c>
    </row>
    <row r="198">
      <c r="A198" t="str">
        <f>IF('03_EXECUTION_LOG'!A198="","",'03_EXECUTION_LOG'!A198)</f>
        <v/>
      </c>
      <c r="B198" t="str">
        <f>IF('03_EXECUTION_LOG'!B198="","",LEFT('03_EXECUTION_LOG'!B198,7))</f>
        <v/>
      </c>
      <c r="C198" t="str">
        <f>IF('03_EXECUTION_LOG'!E198="","",'03_EXECUTION_LOG'!E198)</f>
        <v/>
      </c>
      <c r="D198" t="str">
        <f>IF(C198="","",INDEX('02_TASK_CATALOG'!E:E,MATCH(C198,'02_TASK_CATALOG'!A:A,0)))</f>
        <v/>
      </c>
      <c r="E198">
        <f>IF(C198="","",INDEX('02_TASK_CATALOG'!F:F,MATCH(C198,'02_TASK_CATALOG'!A:A,0)))</f>
        <v>0</v>
      </c>
      <c r="F198">
        <f>IF(C198="","",INDEX('02_TASK_CATALOG'!G:G,MATCH(C198,'02_TASK_CATALOG'!A:A,0)))</f>
        <v>0</v>
      </c>
      <c r="G198">
        <f>IF(C198="","",INDEX('02_TASK_CATALOG'!H:H,MATCH(C198,'02_TASK_CATALOG'!A:A,0)))</f>
        <v>0</v>
      </c>
      <c r="H198">
        <f>IF(A198="","",MAX(0,E198-F198-G198))</f>
        <v>0</v>
      </c>
      <c r="I198">
        <f>IF(A198="","",H198*IF('03_EXECUTION_LOG'!H198="",1,'03_EXECUTION_LOG'!H198)/60)</f>
        <v>0</v>
      </c>
      <c r="J198">
        <f>IF(D198="","",INDEX('01_ASSUMPTIONS'!C:C,MATCH(D198,'01_ASSUMPTIONS'!A:A,0)))</f>
        <v>0</v>
      </c>
      <c r="K198">
        <f>IF(OR(A198="",L198&lt;&gt;TRUE),0,I198*J198)</f>
        <v>0</v>
      </c>
      <c r="L198" t="b">
        <f>IF(A198="","",AND('03_EXECUTION_LOG'!F198="success",INDEX('02_TASK_CATALOG'!J:J,MATCH(C198,'02_TASK_CATALOG'!A:A,0))=TRUE,H198&gt;0,J198&gt;0,'03_EXECUTION_LOG'!J198&lt;&gt;""))</f>
        <v>0</v>
      </c>
      <c r="M198" t="str">
        <f>IF(A198="","",IF('03_EXECUTION_LOG'!F198&lt;&gt;"success","non-success status",IF(INDEX('02_TASK_CATALOG'!J:J,MATCH(C198,'02_TASK_CATALOG'!A:A,0))&lt;&gt;TRUE,"task not approved",IF(H198&lt;=0,"no net time saved",IF(J198&lt;=0,"missing labor rate",IF('03_EXECUTION_LOG'!J198="","missing evidence",""))))))</f>
        <v/>
      </c>
      <c r="N198" t="str">
        <f>IF(A198="","",IF(AND(L198=TRUE,'03_EXECUTION_LOG'!I198=FALSE),"high",IF(AND(L198=TRUE,'03_EXECUTION_LOG'!I198=TRUE),"medium","low")))</f>
        <v/>
      </c>
      <c r="O198" t="str">
        <f>IF(A198="","",IF(AND(L198=TRUE,'03_EXECUTION_LOG'!J198&lt;&gt;""),"yes","needs-review"))</f>
        <v/>
      </c>
    </row>
    <row r="199">
      <c r="A199" t="str">
        <f>IF('03_EXECUTION_LOG'!A199="","",'03_EXECUTION_LOG'!A199)</f>
        <v/>
      </c>
      <c r="B199" t="str">
        <f>IF('03_EXECUTION_LOG'!B199="","",LEFT('03_EXECUTION_LOG'!B199,7))</f>
        <v/>
      </c>
      <c r="C199" t="str">
        <f>IF('03_EXECUTION_LOG'!E199="","",'03_EXECUTION_LOG'!E199)</f>
        <v/>
      </c>
      <c r="D199" t="str">
        <f>IF(C199="","",INDEX('02_TASK_CATALOG'!E:E,MATCH(C199,'02_TASK_CATALOG'!A:A,0)))</f>
        <v/>
      </c>
      <c r="E199">
        <f>IF(C199="","",INDEX('02_TASK_CATALOG'!F:F,MATCH(C199,'02_TASK_CATALOG'!A:A,0)))</f>
        <v>0</v>
      </c>
      <c r="F199">
        <f>IF(C199="","",INDEX('02_TASK_CATALOG'!G:G,MATCH(C199,'02_TASK_CATALOG'!A:A,0)))</f>
        <v>0</v>
      </c>
      <c r="G199">
        <f>IF(C199="","",INDEX('02_TASK_CATALOG'!H:H,MATCH(C199,'02_TASK_CATALOG'!A:A,0)))</f>
        <v>0</v>
      </c>
      <c r="H199">
        <f>IF(A199="","",MAX(0,E199-F199-G199))</f>
        <v>0</v>
      </c>
      <c r="I199">
        <f>IF(A199="","",H199*IF('03_EXECUTION_LOG'!H199="",1,'03_EXECUTION_LOG'!H199)/60)</f>
        <v>0</v>
      </c>
      <c r="J199">
        <f>IF(D199="","",INDEX('01_ASSUMPTIONS'!C:C,MATCH(D199,'01_ASSUMPTIONS'!A:A,0)))</f>
        <v>0</v>
      </c>
      <c r="K199">
        <f>IF(OR(A199="",L199&lt;&gt;TRUE),0,I199*J199)</f>
        <v>0</v>
      </c>
      <c r="L199" t="b">
        <f>IF(A199="","",AND('03_EXECUTION_LOG'!F199="success",INDEX('02_TASK_CATALOG'!J:J,MATCH(C199,'02_TASK_CATALOG'!A:A,0))=TRUE,H199&gt;0,J199&gt;0,'03_EXECUTION_LOG'!J199&lt;&gt;""))</f>
        <v>0</v>
      </c>
      <c r="M199" t="str">
        <f>IF(A199="","",IF('03_EXECUTION_LOG'!F199&lt;&gt;"success","non-success status",IF(INDEX('02_TASK_CATALOG'!J:J,MATCH(C199,'02_TASK_CATALOG'!A:A,0))&lt;&gt;TRUE,"task not approved",IF(H199&lt;=0,"no net time saved",IF(J199&lt;=0,"missing labor rate",IF('03_EXECUTION_LOG'!J199="","missing evidence",""))))))</f>
        <v/>
      </c>
      <c r="N199" t="str">
        <f>IF(A199="","",IF(AND(L199=TRUE,'03_EXECUTION_LOG'!I199=FALSE),"high",IF(AND(L199=TRUE,'03_EXECUTION_LOG'!I199=TRUE),"medium","low")))</f>
        <v/>
      </c>
      <c r="O199" t="str">
        <f>IF(A199="","",IF(AND(L199=TRUE,'03_EXECUTION_LOG'!J199&lt;&gt;""),"yes","needs-review"))</f>
        <v/>
      </c>
    </row>
    <row r="200">
      <c r="A200" t="str">
        <f>IF('03_EXECUTION_LOG'!A200="","",'03_EXECUTION_LOG'!A200)</f>
        <v/>
      </c>
      <c r="B200" t="str">
        <f>IF('03_EXECUTION_LOG'!B200="","",LEFT('03_EXECUTION_LOG'!B200,7))</f>
        <v/>
      </c>
      <c r="C200" t="str">
        <f>IF('03_EXECUTION_LOG'!E200="","",'03_EXECUTION_LOG'!E200)</f>
        <v/>
      </c>
      <c r="D200" t="str">
        <f>IF(C200="","",INDEX('02_TASK_CATALOG'!E:E,MATCH(C200,'02_TASK_CATALOG'!A:A,0)))</f>
        <v/>
      </c>
      <c r="E200">
        <f>IF(C200="","",INDEX('02_TASK_CATALOG'!F:F,MATCH(C200,'02_TASK_CATALOG'!A:A,0)))</f>
        <v>0</v>
      </c>
      <c r="F200">
        <f>IF(C200="","",INDEX('02_TASK_CATALOG'!G:G,MATCH(C200,'02_TASK_CATALOG'!A:A,0)))</f>
        <v>0</v>
      </c>
      <c r="G200">
        <f>IF(C200="","",INDEX('02_TASK_CATALOG'!H:H,MATCH(C200,'02_TASK_CATALOG'!A:A,0)))</f>
        <v>0</v>
      </c>
      <c r="H200">
        <f>IF(A200="","",MAX(0,E200-F200-G200))</f>
        <v>0</v>
      </c>
      <c r="I200">
        <f>IF(A200="","",H200*IF('03_EXECUTION_LOG'!H200="",1,'03_EXECUTION_LOG'!H200)/60)</f>
        <v>0</v>
      </c>
      <c r="J200">
        <f>IF(D200="","",INDEX('01_ASSUMPTIONS'!C:C,MATCH(D200,'01_ASSUMPTIONS'!A:A,0)))</f>
        <v>0</v>
      </c>
      <c r="K200">
        <f>IF(OR(A200="",L200&lt;&gt;TRUE),0,I200*J200)</f>
        <v>0</v>
      </c>
      <c r="L200" t="b">
        <f>IF(A200="","",AND('03_EXECUTION_LOG'!F200="success",INDEX('02_TASK_CATALOG'!J:J,MATCH(C200,'02_TASK_CATALOG'!A:A,0))=TRUE,H200&gt;0,J200&gt;0,'03_EXECUTION_LOG'!J200&lt;&gt;""))</f>
        <v>0</v>
      </c>
      <c r="M200" t="str">
        <f>IF(A200="","",IF('03_EXECUTION_LOG'!F200&lt;&gt;"success","non-success status",IF(INDEX('02_TASK_CATALOG'!J:J,MATCH(C200,'02_TASK_CATALOG'!A:A,0))&lt;&gt;TRUE,"task not approved",IF(H200&lt;=0,"no net time saved",IF(J200&lt;=0,"missing labor rate",IF('03_EXECUTION_LOG'!J200="","missing evidence",""))))))</f>
        <v/>
      </c>
      <c r="N200" t="str">
        <f>IF(A200="","",IF(AND(L200=TRUE,'03_EXECUTION_LOG'!I200=FALSE),"high",IF(AND(L200=TRUE,'03_EXECUTION_LOG'!I200=TRUE),"medium","low")))</f>
        <v/>
      </c>
      <c r="O200" t="str">
        <f>IF(A200="","",IF(AND(L200=TRUE,'03_EXECUTION_LOG'!J200&lt;&gt;""),"yes","needs-review"))</f>
        <v/>
      </c>
    </row>
    <row r="201">
      <c r="A201" t="str">
        <f>IF('03_EXECUTION_LOG'!A201="","",'03_EXECUTION_LOG'!A201)</f>
        <v/>
      </c>
      <c r="B201" t="str">
        <f>IF('03_EXECUTION_LOG'!B201="","",LEFT('03_EXECUTION_LOG'!B201,7))</f>
        <v/>
      </c>
      <c r="C201" t="str">
        <f>IF('03_EXECUTION_LOG'!E201="","",'03_EXECUTION_LOG'!E201)</f>
        <v/>
      </c>
      <c r="D201" t="str">
        <f>IF(C201="","",INDEX('02_TASK_CATALOG'!E:E,MATCH(C201,'02_TASK_CATALOG'!A:A,0)))</f>
        <v/>
      </c>
      <c r="E201">
        <f>IF(C201="","",INDEX('02_TASK_CATALOG'!F:F,MATCH(C201,'02_TASK_CATALOG'!A:A,0)))</f>
        <v>0</v>
      </c>
      <c r="F201">
        <f>IF(C201="","",INDEX('02_TASK_CATALOG'!G:G,MATCH(C201,'02_TASK_CATALOG'!A:A,0)))</f>
        <v>0</v>
      </c>
      <c r="G201">
        <f>IF(C201="","",INDEX('02_TASK_CATALOG'!H:H,MATCH(C201,'02_TASK_CATALOG'!A:A,0)))</f>
        <v>0</v>
      </c>
      <c r="H201">
        <f>IF(A201="","",MAX(0,E201-F201-G201))</f>
        <v>0</v>
      </c>
      <c r="I201">
        <f>IF(A201="","",H201*IF('03_EXECUTION_LOG'!H201="",1,'03_EXECUTION_LOG'!H201)/60)</f>
        <v>0</v>
      </c>
      <c r="J201">
        <f>IF(D201="","",INDEX('01_ASSUMPTIONS'!C:C,MATCH(D201,'01_ASSUMPTIONS'!A:A,0)))</f>
        <v>0</v>
      </c>
      <c r="K201">
        <f>IF(OR(A201="",L201&lt;&gt;TRUE),0,I201*J201)</f>
        <v>0</v>
      </c>
      <c r="L201" t="b">
        <f>IF(A201="","",AND('03_EXECUTION_LOG'!F201="success",INDEX('02_TASK_CATALOG'!J:J,MATCH(C201,'02_TASK_CATALOG'!A:A,0))=TRUE,H201&gt;0,J201&gt;0,'03_EXECUTION_LOG'!J201&lt;&gt;""))</f>
        <v>0</v>
      </c>
      <c r="M201" t="str">
        <f>IF(A201="","",IF('03_EXECUTION_LOG'!F201&lt;&gt;"success","non-success status",IF(INDEX('02_TASK_CATALOG'!J:J,MATCH(C201,'02_TASK_CATALOG'!A:A,0))&lt;&gt;TRUE,"task not approved",IF(H201&lt;=0,"no net time saved",IF(J201&lt;=0,"missing labor rate",IF('03_EXECUTION_LOG'!J201="","missing evidence",""))))))</f>
        <v/>
      </c>
      <c r="N201" t="str">
        <f>IF(A201="","",IF(AND(L201=TRUE,'03_EXECUTION_LOG'!I201=FALSE),"high",IF(AND(L201=TRUE,'03_EXECUTION_LOG'!I201=TRUE),"medium","low")))</f>
        <v/>
      </c>
      <c r="O201" t="str">
        <f>IF(A201="","",IF(AND(L201=TRUE,'03_EXECUTION_LOG'!J201&lt;&gt;""),"yes","needs-review"))</f>
        <v/>
      </c>
    </row>
    <row r="202">
      <c r="A202" t="str">
        <f>IF('03_EXECUTION_LOG'!A202="","",'03_EXECUTION_LOG'!A202)</f>
        <v/>
      </c>
      <c r="B202" t="str">
        <f>IF('03_EXECUTION_LOG'!B202="","",LEFT('03_EXECUTION_LOG'!B202,7))</f>
        <v/>
      </c>
      <c r="C202" t="str">
        <f>IF('03_EXECUTION_LOG'!E202="","",'03_EXECUTION_LOG'!E202)</f>
        <v/>
      </c>
      <c r="D202" t="str">
        <f>IF(C202="","",INDEX('02_TASK_CATALOG'!E:E,MATCH(C202,'02_TASK_CATALOG'!A:A,0)))</f>
        <v/>
      </c>
      <c r="E202">
        <f>IF(C202="","",INDEX('02_TASK_CATALOG'!F:F,MATCH(C202,'02_TASK_CATALOG'!A:A,0)))</f>
        <v>0</v>
      </c>
      <c r="F202">
        <f>IF(C202="","",INDEX('02_TASK_CATALOG'!G:G,MATCH(C202,'02_TASK_CATALOG'!A:A,0)))</f>
        <v>0</v>
      </c>
      <c r="G202">
        <f>IF(C202="","",INDEX('02_TASK_CATALOG'!H:H,MATCH(C202,'02_TASK_CATALOG'!A:A,0)))</f>
        <v>0</v>
      </c>
      <c r="H202">
        <f>IF(A202="","",MAX(0,E202-F202-G202))</f>
        <v>0</v>
      </c>
      <c r="I202">
        <f>IF(A202="","",H202*IF('03_EXECUTION_LOG'!H202="",1,'03_EXECUTION_LOG'!H202)/60)</f>
        <v>0</v>
      </c>
      <c r="J202">
        <f>IF(D202="","",INDEX('01_ASSUMPTIONS'!C:C,MATCH(D202,'01_ASSUMPTIONS'!A:A,0)))</f>
        <v>0</v>
      </c>
      <c r="K202">
        <f>IF(OR(A202="",L202&lt;&gt;TRUE),0,I202*J202)</f>
        <v>0</v>
      </c>
      <c r="L202" t="b">
        <f>IF(A202="","",AND('03_EXECUTION_LOG'!F202="success",INDEX('02_TASK_CATALOG'!J:J,MATCH(C202,'02_TASK_CATALOG'!A:A,0))=TRUE,H202&gt;0,J202&gt;0,'03_EXECUTION_LOG'!J202&lt;&gt;""))</f>
        <v>0</v>
      </c>
      <c r="M202" t="str">
        <f>IF(A202="","",IF('03_EXECUTION_LOG'!F202&lt;&gt;"success","non-success status",IF(INDEX('02_TASK_CATALOG'!J:J,MATCH(C202,'02_TASK_CATALOG'!A:A,0))&lt;&gt;TRUE,"task not approved",IF(H202&lt;=0,"no net time saved",IF(J202&lt;=0,"missing labor rate",IF('03_EXECUTION_LOG'!J202="","missing evidence",""))))))</f>
        <v/>
      </c>
      <c r="N202" t="str">
        <f>IF(A202="","",IF(AND(L202=TRUE,'03_EXECUTION_LOG'!I202=FALSE),"high",IF(AND(L202=TRUE,'03_EXECUTION_LOG'!I202=TRUE),"medium","low")))</f>
        <v/>
      </c>
      <c r="O202" t="str">
        <f>IF(A202="","",IF(AND(L202=TRUE,'03_EXECUTION_LOG'!J202&lt;&gt;""),"yes","needs-review"))</f>
        <v/>
      </c>
    </row>
    <row r="203">
      <c r="A203" t="str">
        <f>IF('03_EXECUTION_LOG'!A203="","",'03_EXECUTION_LOG'!A203)</f>
        <v/>
      </c>
      <c r="B203" t="str">
        <f>IF('03_EXECUTION_LOG'!B203="","",LEFT('03_EXECUTION_LOG'!B203,7))</f>
        <v/>
      </c>
      <c r="C203" t="str">
        <f>IF('03_EXECUTION_LOG'!E203="","",'03_EXECUTION_LOG'!E203)</f>
        <v/>
      </c>
      <c r="D203" t="str">
        <f>IF(C203="","",INDEX('02_TASK_CATALOG'!E:E,MATCH(C203,'02_TASK_CATALOG'!A:A,0)))</f>
        <v/>
      </c>
      <c r="E203">
        <f>IF(C203="","",INDEX('02_TASK_CATALOG'!F:F,MATCH(C203,'02_TASK_CATALOG'!A:A,0)))</f>
        <v>0</v>
      </c>
      <c r="F203">
        <f>IF(C203="","",INDEX('02_TASK_CATALOG'!G:G,MATCH(C203,'02_TASK_CATALOG'!A:A,0)))</f>
        <v>0</v>
      </c>
      <c r="G203">
        <f>IF(C203="","",INDEX('02_TASK_CATALOG'!H:H,MATCH(C203,'02_TASK_CATALOG'!A:A,0)))</f>
        <v>0</v>
      </c>
      <c r="H203">
        <f>IF(A203="","",MAX(0,E203-F203-G203))</f>
        <v>0</v>
      </c>
      <c r="I203">
        <f>IF(A203="","",H203*IF('03_EXECUTION_LOG'!H203="",1,'03_EXECUTION_LOG'!H203)/60)</f>
        <v>0</v>
      </c>
      <c r="J203">
        <f>IF(D203="","",INDEX('01_ASSUMPTIONS'!C:C,MATCH(D203,'01_ASSUMPTIONS'!A:A,0)))</f>
        <v>0</v>
      </c>
      <c r="K203">
        <f>IF(OR(A203="",L203&lt;&gt;TRUE),0,I203*J203)</f>
        <v>0</v>
      </c>
      <c r="L203" t="b">
        <f>IF(A203="","",AND('03_EXECUTION_LOG'!F203="success",INDEX('02_TASK_CATALOG'!J:J,MATCH(C203,'02_TASK_CATALOG'!A:A,0))=TRUE,H203&gt;0,J203&gt;0,'03_EXECUTION_LOG'!J203&lt;&gt;""))</f>
        <v>0</v>
      </c>
      <c r="M203" t="str">
        <f>IF(A203="","",IF('03_EXECUTION_LOG'!F203&lt;&gt;"success","non-success status",IF(INDEX('02_TASK_CATALOG'!J:J,MATCH(C203,'02_TASK_CATALOG'!A:A,0))&lt;&gt;TRUE,"task not approved",IF(H203&lt;=0,"no net time saved",IF(J203&lt;=0,"missing labor rate",IF('03_EXECUTION_LOG'!J203="","missing evidence",""))))))</f>
        <v/>
      </c>
      <c r="N203" t="str">
        <f>IF(A203="","",IF(AND(L203=TRUE,'03_EXECUTION_LOG'!I203=FALSE),"high",IF(AND(L203=TRUE,'03_EXECUTION_LOG'!I203=TRUE),"medium","low")))</f>
        <v/>
      </c>
      <c r="O203" t="str">
        <f>IF(A203="","",IF(AND(L203=TRUE,'03_EXECUTION_LOG'!J203&lt;&gt;""),"yes","needs-review"))</f>
        <v/>
      </c>
    </row>
    <row r="204">
      <c r="A204" t="str">
        <f>IF('03_EXECUTION_LOG'!A204="","",'03_EXECUTION_LOG'!A204)</f>
        <v/>
      </c>
      <c r="B204" t="str">
        <f>IF('03_EXECUTION_LOG'!B204="","",LEFT('03_EXECUTION_LOG'!B204,7))</f>
        <v/>
      </c>
      <c r="C204" t="str">
        <f>IF('03_EXECUTION_LOG'!E204="","",'03_EXECUTION_LOG'!E204)</f>
        <v/>
      </c>
      <c r="D204" t="str">
        <f>IF(C204="","",INDEX('02_TASK_CATALOG'!E:E,MATCH(C204,'02_TASK_CATALOG'!A:A,0)))</f>
        <v/>
      </c>
      <c r="E204">
        <f>IF(C204="","",INDEX('02_TASK_CATALOG'!F:F,MATCH(C204,'02_TASK_CATALOG'!A:A,0)))</f>
        <v>0</v>
      </c>
      <c r="F204">
        <f>IF(C204="","",INDEX('02_TASK_CATALOG'!G:G,MATCH(C204,'02_TASK_CATALOG'!A:A,0)))</f>
        <v>0</v>
      </c>
      <c r="G204">
        <f>IF(C204="","",INDEX('02_TASK_CATALOG'!H:H,MATCH(C204,'02_TASK_CATALOG'!A:A,0)))</f>
        <v>0</v>
      </c>
      <c r="H204">
        <f>IF(A204="","",MAX(0,E204-F204-G204))</f>
        <v>0</v>
      </c>
      <c r="I204">
        <f>IF(A204="","",H204*IF('03_EXECUTION_LOG'!H204="",1,'03_EXECUTION_LOG'!H204)/60)</f>
        <v>0</v>
      </c>
      <c r="J204">
        <f>IF(D204="","",INDEX('01_ASSUMPTIONS'!C:C,MATCH(D204,'01_ASSUMPTIONS'!A:A,0)))</f>
        <v>0</v>
      </c>
      <c r="K204">
        <f>IF(OR(A204="",L204&lt;&gt;TRUE),0,I204*J204)</f>
        <v>0</v>
      </c>
      <c r="L204" t="b">
        <f>IF(A204="","",AND('03_EXECUTION_LOG'!F204="success",INDEX('02_TASK_CATALOG'!J:J,MATCH(C204,'02_TASK_CATALOG'!A:A,0))=TRUE,H204&gt;0,J204&gt;0,'03_EXECUTION_LOG'!J204&lt;&gt;""))</f>
        <v>0</v>
      </c>
      <c r="M204" t="str">
        <f>IF(A204="","",IF('03_EXECUTION_LOG'!F204&lt;&gt;"success","non-success status",IF(INDEX('02_TASK_CATALOG'!J:J,MATCH(C204,'02_TASK_CATALOG'!A:A,0))&lt;&gt;TRUE,"task not approved",IF(H204&lt;=0,"no net time saved",IF(J204&lt;=0,"missing labor rate",IF('03_EXECUTION_LOG'!J204="","missing evidence",""))))))</f>
        <v/>
      </c>
      <c r="N204" t="str">
        <f>IF(A204="","",IF(AND(L204=TRUE,'03_EXECUTION_LOG'!I204=FALSE),"high",IF(AND(L204=TRUE,'03_EXECUTION_LOG'!I204=TRUE),"medium","low")))</f>
        <v/>
      </c>
      <c r="O204" t="str">
        <f>IF(A204="","",IF(AND(L204=TRUE,'03_EXECUTION_LOG'!J204&lt;&gt;""),"yes","needs-review"))</f>
        <v/>
      </c>
    </row>
    <row r="205">
      <c r="A205" t="str">
        <f>IF('03_EXECUTION_LOG'!A205="","",'03_EXECUTION_LOG'!A205)</f>
        <v/>
      </c>
      <c r="B205" t="str">
        <f>IF('03_EXECUTION_LOG'!B205="","",LEFT('03_EXECUTION_LOG'!B205,7))</f>
        <v/>
      </c>
      <c r="C205" t="str">
        <f>IF('03_EXECUTION_LOG'!E205="","",'03_EXECUTION_LOG'!E205)</f>
        <v/>
      </c>
      <c r="D205" t="str">
        <f>IF(C205="","",INDEX('02_TASK_CATALOG'!E:E,MATCH(C205,'02_TASK_CATALOG'!A:A,0)))</f>
        <v/>
      </c>
      <c r="E205">
        <f>IF(C205="","",INDEX('02_TASK_CATALOG'!F:F,MATCH(C205,'02_TASK_CATALOG'!A:A,0)))</f>
        <v>0</v>
      </c>
      <c r="F205">
        <f>IF(C205="","",INDEX('02_TASK_CATALOG'!G:G,MATCH(C205,'02_TASK_CATALOG'!A:A,0)))</f>
        <v>0</v>
      </c>
      <c r="G205">
        <f>IF(C205="","",INDEX('02_TASK_CATALOG'!H:H,MATCH(C205,'02_TASK_CATALOG'!A:A,0)))</f>
        <v>0</v>
      </c>
      <c r="H205">
        <f>IF(A205="","",MAX(0,E205-F205-G205))</f>
        <v>0</v>
      </c>
      <c r="I205">
        <f>IF(A205="","",H205*IF('03_EXECUTION_LOG'!H205="",1,'03_EXECUTION_LOG'!H205)/60)</f>
        <v>0</v>
      </c>
      <c r="J205">
        <f>IF(D205="","",INDEX('01_ASSUMPTIONS'!C:C,MATCH(D205,'01_ASSUMPTIONS'!A:A,0)))</f>
        <v>0</v>
      </c>
      <c r="K205">
        <f>IF(OR(A205="",L205&lt;&gt;TRUE),0,I205*J205)</f>
        <v>0</v>
      </c>
      <c r="L205" t="b">
        <f>IF(A205="","",AND('03_EXECUTION_LOG'!F205="success",INDEX('02_TASK_CATALOG'!J:J,MATCH(C205,'02_TASK_CATALOG'!A:A,0))=TRUE,H205&gt;0,J205&gt;0,'03_EXECUTION_LOG'!J205&lt;&gt;""))</f>
        <v>0</v>
      </c>
      <c r="M205" t="str">
        <f>IF(A205="","",IF('03_EXECUTION_LOG'!F205&lt;&gt;"success","non-success status",IF(INDEX('02_TASK_CATALOG'!J:J,MATCH(C205,'02_TASK_CATALOG'!A:A,0))&lt;&gt;TRUE,"task not approved",IF(H205&lt;=0,"no net time saved",IF(J205&lt;=0,"missing labor rate",IF('03_EXECUTION_LOG'!J205="","missing evidence",""))))))</f>
        <v/>
      </c>
      <c r="N205" t="str">
        <f>IF(A205="","",IF(AND(L205=TRUE,'03_EXECUTION_LOG'!I205=FALSE),"high",IF(AND(L205=TRUE,'03_EXECUTION_LOG'!I205=TRUE),"medium","low")))</f>
        <v/>
      </c>
      <c r="O205" t="str">
        <f>IF(A205="","",IF(AND(L205=TRUE,'03_EXECUTION_LOG'!J205&lt;&gt;""),"yes","needs-review"))</f>
        <v/>
      </c>
    </row>
    <row r="206">
      <c r="A206" t="str">
        <f>IF('03_EXECUTION_LOG'!A206="","",'03_EXECUTION_LOG'!A206)</f>
        <v/>
      </c>
      <c r="B206" t="str">
        <f>IF('03_EXECUTION_LOG'!B206="","",LEFT('03_EXECUTION_LOG'!B206,7))</f>
        <v/>
      </c>
      <c r="C206" t="str">
        <f>IF('03_EXECUTION_LOG'!E206="","",'03_EXECUTION_LOG'!E206)</f>
        <v/>
      </c>
      <c r="D206" t="str">
        <f>IF(C206="","",INDEX('02_TASK_CATALOG'!E:E,MATCH(C206,'02_TASK_CATALOG'!A:A,0)))</f>
        <v/>
      </c>
      <c r="E206">
        <f>IF(C206="","",INDEX('02_TASK_CATALOG'!F:F,MATCH(C206,'02_TASK_CATALOG'!A:A,0)))</f>
        <v>0</v>
      </c>
      <c r="F206">
        <f>IF(C206="","",INDEX('02_TASK_CATALOG'!G:G,MATCH(C206,'02_TASK_CATALOG'!A:A,0)))</f>
        <v>0</v>
      </c>
      <c r="G206">
        <f>IF(C206="","",INDEX('02_TASK_CATALOG'!H:H,MATCH(C206,'02_TASK_CATALOG'!A:A,0)))</f>
        <v>0</v>
      </c>
      <c r="H206">
        <f>IF(A206="","",MAX(0,E206-F206-G206))</f>
        <v>0</v>
      </c>
      <c r="I206">
        <f>IF(A206="","",H206*IF('03_EXECUTION_LOG'!H206="",1,'03_EXECUTION_LOG'!H206)/60)</f>
        <v>0</v>
      </c>
      <c r="J206">
        <f>IF(D206="","",INDEX('01_ASSUMPTIONS'!C:C,MATCH(D206,'01_ASSUMPTIONS'!A:A,0)))</f>
        <v>0</v>
      </c>
      <c r="K206">
        <f>IF(OR(A206="",L206&lt;&gt;TRUE),0,I206*J206)</f>
        <v>0</v>
      </c>
      <c r="L206" t="b">
        <f>IF(A206="","",AND('03_EXECUTION_LOG'!F206="success",INDEX('02_TASK_CATALOG'!J:J,MATCH(C206,'02_TASK_CATALOG'!A:A,0))=TRUE,H206&gt;0,J206&gt;0,'03_EXECUTION_LOG'!J206&lt;&gt;""))</f>
        <v>0</v>
      </c>
      <c r="M206" t="str">
        <f>IF(A206="","",IF('03_EXECUTION_LOG'!F206&lt;&gt;"success","non-success status",IF(INDEX('02_TASK_CATALOG'!J:J,MATCH(C206,'02_TASK_CATALOG'!A:A,0))&lt;&gt;TRUE,"task not approved",IF(H206&lt;=0,"no net time saved",IF(J206&lt;=0,"missing labor rate",IF('03_EXECUTION_LOG'!J206="","missing evidence",""))))))</f>
        <v/>
      </c>
      <c r="N206" t="str">
        <f>IF(A206="","",IF(AND(L206=TRUE,'03_EXECUTION_LOG'!I206=FALSE),"high",IF(AND(L206=TRUE,'03_EXECUTION_LOG'!I206=TRUE),"medium","low")))</f>
        <v/>
      </c>
      <c r="O206" t="str">
        <f>IF(A206="","",IF(AND(L206=TRUE,'03_EXECUTION_LOG'!J206&lt;&gt;""),"yes","needs-review"))</f>
        <v/>
      </c>
    </row>
    <row r="207">
      <c r="A207" t="str">
        <f>IF('03_EXECUTION_LOG'!A207="","",'03_EXECUTION_LOG'!A207)</f>
        <v/>
      </c>
      <c r="B207" t="str">
        <f>IF('03_EXECUTION_LOG'!B207="","",LEFT('03_EXECUTION_LOG'!B207,7))</f>
        <v/>
      </c>
      <c r="C207" t="str">
        <f>IF('03_EXECUTION_LOG'!E207="","",'03_EXECUTION_LOG'!E207)</f>
        <v/>
      </c>
      <c r="D207" t="str">
        <f>IF(C207="","",INDEX('02_TASK_CATALOG'!E:E,MATCH(C207,'02_TASK_CATALOG'!A:A,0)))</f>
        <v/>
      </c>
      <c r="E207">
        <f>IF(C207="","",INDEX('02_TASK_CATALOG'!F:F,MATCH(C207,'02_TASK_CATALOG'!A:A,0)))</f>
        <v>0</v>
      </c>
      <c r="F207">
        <f>IF(C207="","",INDEX('02_TASK_CATALOG'!G:G,MATCH(C207,'02_TASK_CATALOG'!A:A,0)))</f>
        <v>0</v>
      </c>
      <c r="G207">
        <f>IF(C207="","",INDEX('02_TASK_CATALOG'!H:H,MATCH(C207,'02_TASK_CATALOG'!A:A,0)))</f>
        <v>0</v>
      </c>
      <c r="H207">
        <f>IF(A207="","",MAX(0,E207-F207-G207))</f>
        <v>0</v>
      </c>
      <c r="I207">
        <f>IF(A207="","",H207*IF('03_EXECUTION_LOG'!H207="",1,'03_EXECUTION_LOG'!H207)/60)</f>
        <v>0</v>
      </c>
      <c r="J207">
        <f>IF(D207="","",INDEX('01_ASSUMPTIONS'!C:C,MATCH(D207,'01_ASSUMPTIONS'!A:A,0)))</f>
        <v>0</v>
      </c>
      <c r="K207">
        <f>IF(OR(A207="",L207&lt;&gt;TRUE),0,I207*J207)</f>
        <v>0</v>
      </c>
      <c r="L207" t="b">
        <f>IF(A207="","",AND('03_EXECUTION_LOG'!F207="success",INDEX('02_TASK_CATALOG'!J:J,MATCH(C207,'02_TASK_CATALOG'!A:A,0))=TRUE,H207&gt;0,J207&gt;0,'03_EXECUTION_LOG'!J207&lt;&gt;""))</f>
        <v>0</v>
      </c>
      <c r="M207" t="str">
        <f>IF(A207="","",IF('03_EXECUTION_LOG'!F207&lt;&gt;"success","non-success status",IF(INDEX('02_TASK_CATALOG'!J:J,MATCH(C207,'02_TASK_CATALOG'!A:A,0))&lt;&gt;TRUE,"task not approved",IF(H207&lt;=0,"no net time saved",IF(J207&lt;=0,"missing labor rate",IF('03_EXECUTION_LOG'!J207="","missing evidence",""))))))</f>
        <v/>
      </c>
      <c r="N207" t="str">
        <f>IF(A207="","",IF(AND(L207=TRUE,'03_EXECUTION_LOG'!I207=FALSE),"high",IF(AND(L207=TRUE,'03_EXECUTION_LOG'!I207=TRUE),"medium","low")))</f>
        <v/>
      </c>
      <c r="O207" t="str">
        <f>IF(A207="","",IF(AND(L207=TRUE,'03_EXECUTION_LOG'!J207&lt;&gt;""),"yes","needs-review"))</f>
        <v/>
      </c>
    </row>
    <row r="208">
      <c r="A208" t="str">
        <f>IF('03_EXECUTION_LOG'!A208="","",'03_EXECUTION_LOG'!A208)</f>
        <v/>
      </c>
      <c r="B208" t="str">
        <f>IF('03_EXECUTION_LOG'!B208="","",LEFT('03_EXECUTION_LOG'!B208,7))</f>
        <v/>
      </c>
      <c r="C208" t="str">
        <f>IF('03_EXECUTION_LOG'!E208="","",'03_EXECUTION_LOG'!E208)</f>
        <v/>
      </c>
      <c r="D208" t="str">
        <f>IF(C208="","",INDEX('02_TASK_CATALOG'!E:E,MATCH(C208,'02_TASK_CATALOG'!A:A,0)))</f>
        <v/>
      </c>
      <c r="E208">
        <f>IF(C208="","",INDEX('02_TASK_CATALOG'!F:F,MATCH(C208,'02_TASK_CATALOG'!A:A,0)))</f>
        <v>0</v>
      </c>
      <c r="F208">
        <f>IF(C208="","",INDEX('02_TASK_CATALOG'!G:G,MATCH(C208,'02_TASK_CATALOG'!A:A,0)))</f>
        <v>0</v>
      </c>
      <c r="G208">
        <f>IF(C208="","",INDEX('02_TASK_CATALOG'!H:H,MATCH(C208,'02_TASK_CATALOG'!A:A,0)))</f>
        <v>0</v>
      </c>
      <c r="H208">
        <f>IF(A208="","",MAX(0,E208-F208-G208))</f>
        <v>0</v>
      </c>
      <c r="I208">
        <f>IF(A208="","",H208*IF('03_EXECUTION_LOG'!H208="",1,'03_EXECUTION_LOG'!H208)/60)</f>
        <v>0</v>
      </c>
      <c r="J208">
        <f>IF(D208="","",INDEX('01_ASSUMPTIONS'!C:C,MATCH(D208,'01_ASSUMPTIONS'!A:A,0)))</f>
        <v>0</v>
      </c>
      <c r="K208">
        <f>IF(OR(A208="",L208&lt;&gt;TRUE),0,I208*J208)</f>
        <v>0</v>
      </c>
      <c r="L208" t="b">
        <f>IF(A208="","",AND('03_EXECUTION_LOG'!F208="success",INDEX('02_TASK_CATALOG'!J:J,MATCH(C208,'02_TASK_CATALOG'!A:A,0))=TRUE,H208&gt;0,J208&gt;0,'03_EXECUTION_LOG'!J208&lt;&gt;""))</f>
        <v>0</v>
      </c>
      <c r="M208" t="str">
        <f>IF(A208="","",IF('03_EXECUTION_LOG'!F208&lt;&gt;"success","non-success status",IF(INDEX('02_TASK_CATALOG'!J:J,MATCH(C208,'02_TASK_CATALOG'!A:A,0))&lt;&gt;TRUE,"task not approved",IF(H208&lt;=0,"no net time saved",IF(J208&lt;=0,"missing labor rate",IF('03_EXECUTION_LOG'!J208="","missing evidence",""))))))</f>
        <v/>
      </c>
      <c r="N208" t="str">
        <f>IF(A208="","",IF(AND(L208=TRUE,'03_EXECUTION_LOG'!I208=FALSE),"high",IF(AND(L208=TRUE,'03_EXECUTION_LOG'!I208=TRUE),"medium","low")))</f>
        <v/>
      </c>
      <c r="O208" t="str">
        <f>IF(A208="","",IF(AND(L208=TRUE,'03_EXECUTION_LOG'!J208&lt;&gt;""),"yes","needs-review"))</f>
        <v/>
      </c>
    </row>
    <row r="209">
      <c r="A209" t="str">
        <f>IF('03_EXECUTION_LOG'!A209="","",'03_EXECUTION_LOG'!A209)</f>
        <v/>
      </c>
      <c r="B209" t="str">
        <f>IF('03_EXECUTION_LOG'!B209="","",LEFT('03_EXECUTION_LOG'!B209,7))</f>
        <v/>
      </c>
      <c r="C209" t="str">
        <f>IF('03_EXECUTION_LOG'!E209="","",'03_EXECUTION_LOG'!E209)</f>
        <v/>
      </c>
      <c r="D209" t="str">
        <f>IF(C209="","",INDEX('02_TASK_CATALOG'!E:E,MATCH(C209,'02_TASK_CATALOG'!A:A,0)))</f>
        <v/>
      </c>
      <c r="E209">
        <f>IF(C209="","",INDEX('02_TASK_CATALOG'!F:F,MATCH(C209,'02_TASK_CATALOG'!A:A,0)))</f>
        <v>0</v>
      </c>
      <c r="F209">
        <f>IF(C209="","",INDEX('02_TASK_CATALOG'!G:G,MATCH(C209,'02_TASK_CATALOG'!A:A,0)))</f>
        <v>0</v>
      </c>
      <c r="G209">
        <f>IF(C209="","",INDEX('02_TASK_CATALOG'!H:H,MATCH(C209,'02_TASK_CATALOG'!A:A,0)))</f>
        <v>0</v>
      </c>
      <c r="H209">
        <f>IF(A209="","",MAX(0,E209-F209-G209))</f>
        <v>0</v>
      </c>
      <c r="I209">
        <f>IF(A209="","",H209*IF('03_EXECUTION_LOG'!H209="",1,'03_EXECUTION_LOG'!H209)/60)</f>
        <v>0</v>
      </c>
      <c r="J209">
        <f>IF(D209="","",INDEX('01_ASSUMPTIONS'!C:C,MATCH(D209,'01_ASSUMPTIONS'!A:A,0)))</f>
        <v>0</v>
      </c>
      <c r="K209">
        <f>IF(OR(A209="",L209&lt;&gt;TRUE),0,I209*J209)</f>
        <v>0</v>
      </c>
      <c r="L209" t="b">
        <f>IF(A209="","",AND('03_EXECUTION_LOG'!F209="success",INDEX('02_TASK_CATALOG'!J:J,MATCH(C209,'02_TASK_CATALOG'!A:A,0))=TRUE,H209&gt;0,J209&gt;0,'03_EXECUTION_LOG'!J209&lt;&gt;""))</f>
        <v>0</v>
      </c>
      <c r="M209" t="str">
        <f>IF(A209="","",IF('03_EXECUTION_LOG'!F209&lt;&gt;"success","non-success status",IF(INDEX('02_TASK_CATALOG'!J:J,MATCH(C209,'02_TASK_CATALOG'!A:A,0))&lt;&gt;TRUE,"task not approved",IF(H209&lt;=0,"no net time saved",IF(J209&lt;=0,"missing labor rate",IF('03_EXECUTION_LOG'!J209="","missing evidence",""))))))</f>
        <v/>
      </c>
      <c r="N209" t="str">
        <f>IF(A209="","",IF(AND(L209=TRUE,'03_EXECUTION_LOG'!I209=FALSE),"high",IF(AND(L209=TRUE,'03_EXECUTION_LOG'!I209=TRUE),"medium","low")))</f>
        <v/>
      </c>
      <c r="O209" t="str">
        <f>IF(A209="","",IF(AND(L209=TRUE,'03_EXECUTION_LOG'!J209&lt;&gt;""),"yes","needs-review"))</f>
        <v/>
      </c>
    </row>
    <row r="210">
      <c r="A210" t="str">
        <f>IF('03_EXECUTION_LOG'!A210="","",'03_EXECUTION_LOG'!A210)</f>
        <v/>
      </c>
      <c r="B210" t="str">
        <f>IF('03_EXECUTION_LOG'!B210="","",LEFT('03_EXECUTION_LOG'!B210,7))</f>
        <v/>
      </c>
      <c r="C210" t="str">
        <f>IF('03_EXECUTION_LOG'!E210="","",'03_EXECUTION_LOG'!E210)</f>
        <v/>
      </c>
      <c r="D210" t="str">
        <f>IF(C210="","",INDEX('02_TASK_CATALOG'!E:E,MATCH(C210,'02_TASK_CATALOG'!A:A,0)))</f>
        <v/>
      </c>
      <c r="E210">
        <f>IF(C210="","",INDEX('02_TASK_CATALOG'!F:F,MATCH(C210,'02_TASK_CATALOG'!A:A,0)))</f>
        <v>0</v>
      </c>
      <c r="F210">
        <f>IF(C210="","",INDEX('02_TASK_CATALOG'!G:G,MATCH(C210,'02_TASK_CATALOG'!A:A,0)))</f>
        <v>0</v>
      </c>
      <c r="G210">
        <f>IF(C210="","",INDEX('02_TASK_CATALOG'!H:H,MATCH(C210,'02_TASK_CATALOG'!A:A,0)))</f>
        <v>0</v>
      </c>
      <c r="H210">
        <f>IF(A210="","",MAX(0,E210-F210-G210))</f>
        <v>0</v>
      </c>
      <c r="I210">
        <f>IF(A210="","",H210*IF('03_EXECUTION_LOG'!H210="",1,'03_EXECUTION_LOG'!H210)/60)</f>
        <v>0</v>
      </c>
      <c r="J210">
        <f>IF(D210="","",INDEX('01_ASSUMPTIONS'!C:C,MATCH(D210,'01_ASSUMPTIONS'!A:A,0)))</f>
        <v>0</v>
      </c>
      <c r="K210">
        <f>IF(OR(A210="",L210&lt;&gt;TRUE),0,I210*J210)</f>
        <v>0</v>
      </c>
      <c r="L210" t="b">
        <f>IF(A210="","",AND('03_EXECUTION_LOG'!F210="success",INDEX('02_TASK_CATALOG'!J:J,MATCH(C210,'02_TASK_CATALOG'!A:A,0))=TRUE,H210&gt;0,J210&gt;0,'03_EXECUTION_LOG'!J210&lt;&gt;""))</f>
        <v>0</v>
      </c>
      <c r="M210" t="str">
        <f>IF(A210="","",IF('03_EXECUTION_LOG'!F210&lt;&gt;"success","non-success status",IF(INDEX('02_TASK_CATALOG'!J:J,MATCH(C210,'02_TASK_CATALOG'!A:A,0))&lt;&gt;TRUE,"task not approved",IF(H210&lt;=0,"no net time saved",IF(J210&lt;=0,"missing labor rate",IF('03_EXECUTION_LOG'!J210="","missing evidence",""))))))</f>
        <v/>
      </c>
      <c r="N210" t="str">
        <f>IF(A210="","",IF(AND(L210=TRUE,'03_EXECUTION_LOG'!I210=FALSE),"high",IF(AND(L210=TRUE,'03_EXECUTION_LOG'!I210=TRUE),"medium","low")))</f>
        <v/>
      </c>
      <c r="O210" t="str">
        <f>IF(A210="","",IF(AND(L210=TRUE,'03_EXECUTION_LOG'!J210&lt;&gt;""),"yes","needs-review"))</f>
        <v/>
      </c>
    </row>
    <row r="211">
      <c r="A211" t="str">
        <f>IF('03_EXECUTION_LOG'!A211="","",'03_EXECUTION_LOG'!A211)</f>
        <v/>
      </c>
      <c r="B211" t="str">
        <f>IF('03_EXECUTION_LOG'!B211="","",LEFT('03_EXECUTION_LOG'!B211,7))</f>
        <v/>
      </c>
      <c r="C211" t="str">
        <f>IF('03_EXECUTION_LOG'!E211="","",'03_EXECUTION_LOG'!E211)</f>
        <v/>
      </c>
      <c r="D211" t="str">
        <f>IF(C211="","",INDEX('02_TASK_CATALOG'!E:E,MATCH(C211,'02_TASK_CATALOG'!A:A,0)))</f>
        <v/>
      </c>
      <c r="E211">
        <f>IF(C211="","",INDEX('02_TASK_CATALOG'!F:F,MATCH(C211,'02_TASK_CATALOG'!A:A,0)))</f>
        <v>0</v>
      </c>
      <c r="F211">
        <f>IF(C211="","",INDEX('02_TASK_CATALOG'!G:G,MATCH(C211,'02_TASK_CATALOG'!A:A,0)))</f>
        <v>0</v>
      </c>
      <c r="G211">
        <f>IF(C211="","",INDEX('02_TASK_CATALOG'!H:H,MATCH(C211,'02_TASK_CATALOG'!A:A,0)))</f>
        <v>0</v>
      </c>
      <c r="H211">
        <f>IF(A211="","",MAX(0,E211-F211-G211))</f>
        <v>0</v>
      </c>
      <c r="I211">
        <f>IF(A211="","",H211*IF('03_EXECUTION_LOG'!H211="",1,'03_EXECUTION_LOG'!H211)/60)</f>
        <v>0</v>
      </c>
      <c r="J211">
        <f>IF(D211="","",INDEX('01_ASSUMPTIONS'!C:C,MATCH(D211,'01_ASSUMPTIONS'!A:A,0)))</f>
        <v>0</v>
      </c>
      <c r="K211">
        <f>IF(OR(A211="",L211&lt;&gt;TRUE),0,I211*J211)</f>
        <v>0</v>
      </c>
      <c r="L211" t="b">
        <f>IF(A211="","",AND('03_EXECUTION_LOG'!F211="success",INDEX('02_TASK_CATALOG'!J:J,MATCH(C211,'02_TASK_CATALOG'!A:A,0))=TRUE,H211&gt;0,J211&gt;0,'03_EXECUTION_LOG'!J211&lt;&gt;""))</f>
        <v>0</v>
      </c>
      <c r="M211" t="str">
        <f>IF(A211="","",IF('03_EXECUTION_LOG'!F211&lt;&gt;"success","non-success status",IF(INDEX('02_TASK_CATALOG'!J:J,MATCH(C211,'02_TASK_CATALOG'!A:A,0))&lt;&gt;TRUE,"task not approved",IF(H211&lt;=0,"no net time saved",IF(J211&lt;=0,"missing labor rate",IF('03_EXECUTION_LOG'!J211="","missing evidence",""))))))</f>
        <v/>
      </c>
      <c r="N211" t="str">
        <f>IF(A211="","",IF(AND(L211=TRUE,'03_EXECUTION_LOG'!I211=FALSE),"high",IF(AND(L211=TRUE,'03_EXECUTION_LOG'!I211=TRUE),"medium","low")))</f>
        <v/>
      </c>
      <c r="O211" t="str">
        <f>IF(A211="","",IF(AND(L211=TRUE,'03_EXECUTION_LOG'!J211&lt;&gt;""),"yes","needs-review"))</f>
        <v/>
      </c>
    </row>
    <row r="212">
      <c r="A212" t="str">
        <f>IF('03_EXECUTION_LOG'!A212="","",'03_EXECUTION_LOG'!A212)</f>
        <v/>
      </c>
      <c r="B212" t="str">
        <f>IF('03_EXECUTION_LOG'!B212="","",LEFT('03_EXECUTION_LOG'!B212,7))</f>
        <v/>
      </c>
      <c r="C212" t="str">
        <f>IF('03_EXECUTION_LOG'!E212="","",'03_EXECUTION_LOG'!E212)</f>
        <v/>
      </c>
      <c r="D212" t="str">
        <f>IF(C212="","",INDEX('02_TASK_CATALOG'!E:E,MATCH(C212,'02_TASK_CATALOG'!A:A,0)))</f>
        <v/>
      </c>
      <c r="E212">
        <f>IF(C212="","",INDEX('02_TASK_CATALOG'!F:F,MATCH(C212,'02_TASK_CATALOG'!A:A,0)))</f>
        <v>0</v>
      </c>
      <c r="F212">
        <f>IF(C212="","",INDEX('02_TASK_CATALOG'!G:G,MATCH(C212,'02_TASK_CATALOG'!A:A,0)))</f>
        <v>0</v>
      </c>
      <c r="G212">
        <f>IF(C212="","",INDEX('02_TASK_CATALOG'!H:H,MATCH(C212,'02_TASK_CATALOG'!A:A,0)))</f>
        <v>0</v>
      </c>
      <c r="H212">
        <f>IF(A212="","",MAX(0,E212-F212-G212))</f>
        <v>0</v>
      </c>
      <c r="I212">
        <f>IF(A212="","",H212*IF('03_EXECUTION_LOG'!H212="",1,'03_EXECUTION_LOG'!H212)/60)</f>
        <v>0</v>
      </c>
      <c r="J212">
        <f>IF(D212="","",INDEX('01_ASSUMPTIONS'!C:C,MATCH(D212,'01_ASSUMPTIONS'!A:A,0)))</f>
        <v>0</v>
      </c>
      <c r="K212">
        <f>IF(OR(A212="",L212&lt;&gt;TRUE),0,I212*J212)</f>
        <v>0</v>
      </c>
      <c r="L212" t="b">
        <f>IF(A212="","",AND('03_EXECUTION_LOG'!F212="success",INDEX('02_TASK_CATALOG'!J:J,MATCH(C212,'02_TASK_CATALOG'!A:A,0))=TRUE,H212&gt;0,J212&gt;0,'03_EXECUTION_LOG'!J212&lt;&gt;""))</f>
        <v>0</v>
      </c>
      <c r="M212" t="str">
        <f>IF(A212="","",IF('03_EXECUTION_LOG'!F212&lt;&gt;"success","non-success status",IF(INDEX('02_TASK_CATALOG'!J:J,MATCH(C212,'02_TASK_CATALOG'!A:A,0))&lt;&gt;TRUE,"task not approved",IF(H212&lt;=0,"no net time saved",IF(J212&lt;=0,"missing labor rate",IF('03_EXECUTION_LOG'!J212="","missing evidence",""))))))</f>
        <v/>
      </c>
      <c r="N212" t="str">
        <f>IF(A212="","",IF(AND(L212=TRUE,'03_EXECUTION_LOG'!I212=FALSE),"high",IF(AND(L212=TRUE,'03_EXECUTION_LOG'!I212=TRUE),"medium","low")))</f>
        <v/>
      </c>
      <c r="O212" t="str">
        <f>IF(A212="","",IF(AND(L212=TRUE,'03_EXECUTION_LOG'!J212&lt;&gt;""),"yes","needs-review"))</f>
        <v/>
      </c>
    </row>
    <row r="213">
      <c r="A213" t="str">
        <f>IF('03_EXECUTION_LOG'!A213="","",'03_EXECUTION_LOG'!A213)</f>
        <v/>
      </c>
      <c r="B213" t="str">
        <f>IF('03_EXECUTION_LOG'!B213="","",LEFT('03_EXECUTION_LOG'!B213,7))</f>
        <v/>
      </c>
      <c r="C213" t="str">
        <f>IF('03_EXECUTION_LOG'!E213="","",'03_EXECUTION_LOG'!E213)</f>
        <v/>
      </c>
      <c r="D213" t="str">
        <f>IF(C213="","",INDEX('02_TASK_CATALOG'!E:E,MATCH(C213,'02_TASK_CATALOG'!A:A,0)))</f>
        <v/>
      </c>
      <c r="E213">
        <f>IF(C213="","",INDEX('02_TASK_CATALOG'!F:F,MATCH(C213,'02_TASK_CATALOG'!A:A,0)))</f>
        <v>0</v>
      </c>
      <c r="F213">
        <f>IF(C213="","",INDEX('02_TASK_CATALOG'!G:G,MATCH(C213,'02_TASK_CATALOG'!A:A,0)))</f>
        <v>0</v>
      </c>
      <c r="G213">
        <f>IF(C213="","",INDEX('02_TASK_CATALOG'!H:H,MATCH(C213,'02_TASK_CATALOG'!A:A,0)))</f>
        <v>0</v>
      </c>
      <c r="H213">
        <f>IF(A213="","",MAX(0,E213-F213-G213))</f>
        <v>0</v>
      </c>
      <c r="I213">
        <f>IF(A213="","",H213*IF('03_EXECUTION_LOG'!H213="",1,'03_EXECUTION_LOG'!H213)/60)</f>
        <v>0</v>
      </c>
      <c r="J213">
        <f>IF(D213="","",INDEX('01_ASSUMPTIONS'!C:C,MATCH(D213,'01_ASSUMPTIONS'!A:A,0)))</f>
        <v>0</v>
      </c>
      <c r="K213">
        <f>IF(OR(A213="",L213&lt;&gt;TRUE),0,I213*J213)</f>
        <v>0</v>
      </c>
      <c r="L213" t="b">
        <f>IF(A213="","",AND('03_EXECUTION_LOG'!F213="success",INDEX('02_TASK_CATALOG'!J:J,MATCH(C213,'02_TASK_CATALOG'!A:A,0))=TRUE,H213&gt;0,J213&gt;0,'03_EXECUTION_LOG'!J213&lt;&gt;""))</f>
        <v>0</v>
      </c>
      <c r="M213" t="str">
        <f>IF(A213="","",IF('03_EXECUTION_LOG'!F213&lt;&gt;"success","non-success status",IF(INDEX('02_TASK_CATALOG'!J:J,MATCH(C213,'02_TASK_CATALOG'!A:A,0))&lt;&gt;TRUE,"task not approved",IF(H213&lt;=0,"no net time saved",IF(J213&lt;=0,"missing labor rate",IF('03_EXECUTION_LOG'!J213="","missing evidence",""))))))</f>
        <v/>
      </c>
      <c r="N213" t="str">
        <f>IF(A213="","",IF(AND(L213=TRUE,'03_EXECUTION_LOG'!I213=FALSE),"high",IF(AND(L213=TRUE,'03_EXECUTION_LOG'!I213=TRUE),"medium","low")))</f>
        <v/>
      </c>
      <c r="O213" t="str">
        <f>IF(A213="","",IF(AND(L213=TRUE,'03_EXECUTION_LOG'!J213&lt;&gt;""),"yes","needs-review"))</f>
        <v/>
      </c>
    </row>
    <row r="214">
      <c r="A214" t="str">
        <f>IF('03_EXECUTION_LOG'!A214="","",'03_EXECUTION_LOG'!A214)</f>
        <v/>
      </c>
      <c r="B214" t="str">
        <f>IF('03_EXECUTION_LOG'!B214="","",LEFT('03_EXECUTION_LOG'!B214,7))</f>
        <v/>
      </c>
      <c r="C214" t="str">
        <f>IF('03_EXECUTION_LOG'!E214="","",'03_EXECUTION_LOG'!E214)</f>
        <v/>
      </c>
      <c r="D214" t="str">
        <f>IF(C214="","",INDEX('02_TASK_CATALOG'!E:E,MATCH(C214,'02_TASK_CATALOG'!A:A,0)))</f>
        <v/>
      </c>
      <c r="E214">
        <f>IF(C214="","",INDEX('02_TASK_CATALOG'!F:F,MATCH(C214,'02_TASK_CATALOG'!A:A,0)))</f>
        <v>0</v>
      </c>
      <c r="F214">
        <f>IF(C214="","",INDEX('02_TASK_CATALOG'!G:G,MATCH(C214,'02_TASK_CATALOG'!A:A,0)))</f>
        <v>0</v>
      </c>
      <c r="G214">
        <f>IF(C214="","",INDEX('02_TASK_CATALOG'!H:H,MATCH(C214,'02_TASK_CATALOG'!A:A,0)))</f>
        <v>0</v>
      </c>
      <c r="H214">
        <f>IF(A214="","",MAX(0,E214-F214-G214))</f>
        <v>0</v>
      </c>
      <c r="I214">
        <f>IF(A214="","",H214*IF('03_EXECUTION_LOG'!H214="",1,'03_EXECUTION_LOG'!H214)/60)</f>
        <v>0</v>
      </c>
      <c r="J214">
        <f>IF(D214="","",INDEX('01_ASSUMPTIONS'!C:C,MATCH(D214,'01_ASSUMPTIONS'!A:A,0)))</f>
        <v>0</v>
      </c>
      <c r="K214">
        <f>IF(OR(A214="",L214&lt;&gt;TRUE),0,I214*J214)</f>
        <v>0</v>
      </c>
      <c r="L214" t="b">
        <f>IF(A214="","",AND('03_EXECUTION_LOG'!F214="success",INDEX('02_TASK_CATALOG'!J:J,MATCH(C214,'02_TASK_CATALOG'!A:A,0))=TRUE,H214&gt;0,J214&gt;0,'03_EXECUTION_LOG'!J214&lt;&gt;""))</f>
        <v>0</v>
      </c>
      <c r="M214" t="str">
        <f>IF(A214="","",IF('03_EXECUTION_LOG'!F214&lt;&gt;"success","non-success status",IF(INDEX('02_TASK_CATALOG'!J:J,MATCH(C214,'02_TASK_CATALOG'!A:A,0))&lt;&gt;TRUE,"task not approved",IF(H214&lt;=0,"no net time saved",IF(J214&lt;=0,"missing labor rate",IF('03_EXECUTION_LOG'!J214="","missing evidence",""))))))</f>
        <v/>
      </c>
      <c r="N214" t="str">
        <f>IF(A214="","",IF(AND(L214=TRUE,'03_EXECUTION_LOG'!I214=FALSE),"high",IF(AND(L214=TRUE,'03_EXECUTION_LOG'!I214=TRUE),"medium","low")))</f>
        <v/>
      </c>
      <c r="O214" t="str">
        <f>IF(A214="","",IF(AND(L214=TRUE,'03_EXECUTION_LOG'!J214&lt;&gt;""),"yes","needs-review"))</f>
        <v/>
      </c>
    </row>
    <row r="215">
      <c r="A215" t="str">
        <f>IF('03_EXECUTION_LOG'!A215="","",'03_EXECUTION_LOG'!A215)</f>
        <v/>
      </c>
      <c r="B215" t="str">
        <f>IF('03_EXECUTION_LOG'!B215="","",LEFT('03_EXECUTION_LOG'!B215,7))</f>
        <v/>
      </c>
      <c r="C215" t="str">
        <f>IF('03_EXECUTION_LOG'!E215="","",'03_EXECUTION_LOG'!E215)</f>
        <v/>
      </c>
      <c r="D215" t="str">
        <f>IF(C215="","",INDEX('02_TASK_CATALOG'!E:E,MATCH(C215,'02_TASK_CATALOG'!A:A,0)))</f>
        <v/>
      </c>
      <c r="E215">
        <f>IF(C215="","",INDEX('02_TASK_CATALOG'!F:F,MATCH(C215,'02_TASK_CATALOG'!A:A,0)))</f>
        <v>0</v>
      </c>
      <c r="F215">
        <f>IF(C215="","",INDEX('02_TASK_CATALOG'!G:G,MATCH(C215,'02_TASK_CATALOG'!A:A,0)))</f>
        <v>0</v>
      </c>
      <c r="G215">
        <f>IF(C215="","",INDEX('02_TASK_CATALOG'!H:H,MATCH(C215,'02_TASK_CATALOG'!A:A,0)))</f>
        <v>0</v>
      </c>
      <c r="H215">
        <f>IF(A215="","",MAX(0,E215-F215-G215))</f>
        <v>0</v>
      </c>
      <c r="I215">
        <f>IF(A215="","",H215*IF('03_EXECUTION_LOG'!H215="",1,'03_EXECUTION_LOG'!H215)/60)</f>
        <v>0</v>
      </c>
      <c r="J215">
        <f>IF(D215="","",INDEX('01_ASSUMPTIONS'!C:C,MATCH(D215,'01_ASSUMPTIONS'!A:A,0)))</f>
        <v>0</v>
      </c>
      <c r="K215">
        <f>IF(OR(A215="",L215&lt;&gt;TRUE),0,I215*J215)</f>
        <v>0</v>
      </c>
      <c r="L215" t="b">
        <f>IF(A215="","",AND('03_EXECUTION_LOG'!F215="success",INDEX('02_TASK_CATALOG'!J:J,MATCH(C215,'02_TASK_CATALOG'!A:A,0))=TRUE,H215&gt;0,J215&gt;0,'03_EXECUTION_LOG'!J215&lt;&gt;""))</f>
        <v>0</v>
      </c>
      <c r="M215" t="str">
        <f>IF(A215="","",IF('03_EXECUTION_LOG'!F215&lt;&gt;"success","non-success status",IF(INDEX('02_TASK_CATALOG'!J:J,MATCH(C215,'02_TASK_CATALOG'!A:A,0))&lt;&gt;TRUE,"task not approved",IF(H215&lt;=0,"no net time saved",IF(J215&lt;=0,"missing labor rate",IF('03_EXECUTION_LOG'!J215="","missing evidence",""))))))</f>
        <v/>
      </c>
      <c r="N215" t="str">
        <f>IF(A215="","",IF(AND(L215=TRUE,'03_EXECUTION_LOG'!I215=FALSE),"high",IF(AND(L215=TRUE,'03_EXECUTION_LOG'!I215=TRUE),"medium","low")))</f>
        <v/>
      </c>
      <c r="O215" t="str">
        <f>IF(A215="","",IF(AND(L215=TRUE,'03_EXECUTION_LOG'!J215&lt;&gt;""),"yes","needs-review"))</f>
        <v/>
      </c>
    </row>
    <row r="216">
      <c r="A216" t="str">
        <f>IF('03_EXECUTION_LOG'!A216="","",'03_EXECUTION_LOG'!A216)</f>
        <v/>
      </c>
      <c r="B216" t="str">
        <f>IF('03_EXECUTION_LOG'!B216="","",LEFT('03_EXECUTION_LOG'!B216,7))</f>
        <v/>
      </c>
      <c r="C216" t="str">
        <f>IF('03_EXECUTION_LOG'!E216="","",'03_EXECUTION_LOG'!E216)</f>
        <v/>
      </c>
      <c r="D216" t="str">
        <f>IF(C216="","",INDEX('02_TASK_CATALOG'!E:E,MATCH(C216,'02_TASK_CATALOG'!A:A,0)))</f>
        <v/>
      </c>
      <c r="E216">
        <f>IF(C216="","",INDEX('02_TASK_CATALOG'!F:F,MATCH(C216,'02_TASK_CATALOG'!A:A,0)))</f>
        <v>0</v>
      </c>
      <c r="F216">
        <f>IF(C216="","",INDEX('02_TASK_CATALOG'!G:G,MATCH(C216,'02_TASK_CATALOG'!A:A,0)))</f>
        <v>0</v>
      </c>
      <c r="G216">
        <f>IF(C216="","",INDEX('02_TASK_CATALOG'!H:H,MATCH(C216,'02_TASK_CATALOG'!A:A,0)))</f>
        <v>0</v>
      </c>
      <c r="H216">
        <f>IF(A216="","",MAX(0,E216-F216-G216))</f>
        <v>0</v>
      </c>
      <c r="I216">
        <f>IF(A216="","",H216*IF('03_EXECUTION_LOG'!H216="",1,'03_EXECUTION_LOG'!H216)/60)</f>
        <v>0</v>
      </c>
      <c r="J216">
        <f>IF(D216="","",INDEX('01_ASSUMPTIONS'!C:C,MATCH(D216,'01_ASSUMPTIONS'!A:A,0)))</f>
        <v>0</v>
      </c>
      <c r="K216">
        <f>IF(OR(A216="",L216&lt;&gt;TRUE),0,I216*J216)</f>
        <v>0</v>
      </c>
      <c r="L216" t="b">
        <f>IF(A216="","",AND('03_EXECUTION_LOG'!F216="success",INDEX('02_TASK_CATALOG'!J:J,MATCH(C216,'02_TASK_CATALOG'!A:A,0))=TRUE,H216&gt;0,J216&gt;0,'03_EXECUTION_LOG'!J216&lt;&gt;""))</f>
        <v>0</v>
      </c>
      <c r="M216" t="str">
        <f>IF(A216="","",IF('03_EXECUTION_LOG'!F216&lt;&gt;"success","non-success status",IF(INDEX('02_TASK_CATALOG'!J:J,MATCH(C216,'02_TASK_CATALOG'!A:A,0))&lt;&gt;TRUE,"task not approved",IF(H216&lt;=0,"no net time saved",IF(J216&lt;=0,"missing labor rate",IF('03_EXECUTION_LOG'!J216="","missing evidence",""))))))</f>
        <v/>
      </c>
      <c r="N216" t="str">
        <f>IF(A216="","",IF(AND(L216=TRUE,'03_EXECUTION_LOG'!I216=FALSE),"high",IF(AND(L216=TRUE,'03_EXECUTION_LOG'!I216=TRUE),"medium","low")))</f>
        <v/>
      </c>
      <c r="O216" t="str">
        <f>IF(A216="","",IF(AND(L216=TRUE,'03_EXECUTION_LOG'!J216&lt;&gt;""),"yes","needs-review"))</f>
        <v/>
      </c>
    </row>
    <row r="217">
      <c r="A217" t="str">
        <f>IF('03_EXECUTION_LOG'!A217="","",'03_EXECUTION_LOG'!A217)</f>
        <v/>
      </c>
      <c r="B217" t="str">
        <f>IF('03_EXECUTION_LOG'!B217="","",LEFT('03_EXECUTION_LOG'!B217,7))</f>
        <v/>
      </c>
      <c r="C217" t="str">
        <f>IF('03_EXECUTION_LOG'!E217="","",'03_EXECUTION_LOG'!E217)</f>
        <v/>
      </c>
      <c r="D217" t="str">
        <f>IF(C217="","",INDEX('02_TASK_CATALOG'!E:E,MATCH(C217,'02_TASK_CATALOG'!A:A,0)))</f>
        <v/>
      </c>
      <c r="E217">
        <f>IF(C217="","",INDEX('02_TASK_CATALOG'!F:F,MATCH(C217,'02_TASK_CATALOG'!A:A,0)))</f>
        <v>0</v>
      </c>
      <c r="F217">
        <f>IF(C217="","",INDEX('02_TASK_CATALOG'!G:G,MATCH(C217,'02_TASK_CATALOG'!A:A,0)))</f>
        <v>0</v>
      </c>
      <c r="G217">
        <f>IF(C217="","",INDEX('02_TASK_CATALOG'!H:H,MATCH(C217,'02_TASK_CATALOG'!A:A,0)))</f>
        <v>0</v>
      </c>
      <c r="H217">
        <f>IF(A217="","",MAX(0,E217-F217-G217))</f>
        <v>0</v>
      </c>
      <c r="I217">
        <f>IF(A217="","",H217*IF('03_EXECUTION_LOG'!H217="",1,'03_EXECUTION_LOG'!H217)/60)</f>
        <v>0</v>
      </c>
      <c r="J217">
        <f>IF(D217="","",INDEX('01_ASSUMPTIONS'!C:C,MATCH(D217,'01_ASSUMPTIONS'!A:A,0)))</f>
        <v>0</v>
      </c>
      <c r="K217">
        <f>IF(OR(A217="",L217&lt;&gt;TRUE),0,I217*J217)</f>
        <v>0</v>
      </c>
      <c r="L217" t="b">
        <f>IF(A217="","",AND('03_EXECUTION_LOG'!F217="success",INDEX('02_TASK_CATALOG'!J:J,MATCH(C217,'02_TASK_CATALOG'!A:A,0))=TRUE,H217&gt;0,J217&gt;0,'03_EXECUTION_LOG'!J217&lt;&gt;""))</f>
        <v>0</v>
      </c>
      <c r="M217" t="str">
        <f>IF(A217="","",IF('03_EXECUTION_LOG'!F217&lt;&gt;"success","non-success status",IF(INDEX('02_TASK_CATALOG'!J:J,MATCH(C217,'02_TASK_CATALOG'!A:A,0))&lt;&gt;TRUE,"task not approved",IF(H217&lt;=0,"no net time saved",IF(J217&lt;=0,"missing labor rate",IF('03_EXECUTION_LOG'!J217="","missing evidence",""))))))</f>
        <v/>
      </c>
      <c r="N217" t="str">
        <f>IF(A217="","",IF(AND(L217=TRUE,'03_EXECUTION_LOG'!I217=FALSE),"high",IF(AND(L217=TRUE,'03_EXECUTION_LOG'!I217=TRUE),"medium","low")))</f>
        <v/>
      </c>
      <c r="O217" t="str">
        <f>IF(A217="","",IF(AND(L217=TRUE,'03_EXECUTION_LOG'!J217&lt;&gt;""),"yes","needs-review"))</f>
        <v/>
      </c>
    </row>
    <row r="218">
      <c r="A218" t="str">
        <f>IF('03_EXECUTION_LOG'!A218="","",'03_EXECUTION_LOG'!A218)</f>
        <v/>
      </c>
      <c r="B218" t="str">
        <f>IF('03_EXECUTION_LOG'!B218="","",LEFT('03_EXECUTION_LOG'!B218,7))</f>
        <v/>
      </c>
      <c r="C218" t="str">
        <f>IF('03_EXECUTION_LOG'!E218="","",'03_EXECUTION_LOG'!E218)</f>
        <v/>
      </c>
      <c r="D218" t="str">
        <f>IF(C218="","",INDEX('02_TASK_CATALOG'!E:E,MATCH(C218,'02_TASK_CATALOG'!A:A,0)))</f>
        <v/>
      </c>
      <c r="E218">
        <f>IF(C218="","",INDEX('02_TASK_CATALOG'!F:F,MATCH(C218,'02_TASK_CATALOG'!A:A,0)))</f>
        <v>0</v>
      </c>
      <c r="F218">
        <f>IF(C218="","",INDEX('02_TASK_CATALOG'!G:G,MATCH(C218,'02_TASK_CATALOG'!A:A,0)))</f>
        <v>0</v>
      </c>
      <c r="G218">
        <f>IF(C218="","",INDEX('02_TASK_CATALOG'!H:H,MATCH(C218,'02_TASK_CATALOG'!A:A,0)))</f>
        <v>0</v>
      </c>
      <c r="H218">
        <f>IF(A218="","",MAX(0,E218-F218-G218))</f>
        <v>0</v>
      </c>
      <c r="I218">
        <f>IF(A218="","",H218*IF('03_EXECUTION_LOG'!H218="",1,'03_EXECUTION_LOG'!H218)/60)</f>
        <v>0</v>
      </c>
      <c r="J218">
        <f>IF(D218="","",INDEX('01_ASSUMPTIONS'!C:C,MATCH(D218,'01_ASSUMPTIONS'!A:A,0)))</f>
        <v>0</v>
      </c>
      <c r="K218">
        <f>IF(OR(A218="",L218&lt;&gt;TRUE),0,I218*J218)</f>
        <v>0</v>
      </c>
      <c r="L218" t="b">
        <f>IF(A218="","",AND('03_EXECUTION_LOG'!F218="success",INDEX('02_TASK_CATALOG'!J:J,MATCH(C218,'02_TASK_CATALOG'!A:A,0))=TRUE,H218&gt;0,J218&gt;0,'03_EXECUTION_LOG'!J218&lt;&gt;""))</f>
        <v>0</v>
      </c>
      <c r="M218" t="str">
        <f>IF(A218="","",IF('03_EXECUTION_LOG'!F218&lt;&gt;"success","non-success status",IF(INDEX('02_TASK_CATALOG'!J:J,MATCH(C218,'02_TASK_CATALOG'!A:A,0))&lt;&gt;TRUE,"task not approved",IF(H218&lt;=0,"no net time saved",IF(J218&lt;=0,"missing labor rate",IF('03_EXECUTION_LOG'!J218="","missing evidence",""))))))</f>
        <v/>
      </c>
      <c r="N218" t="str">
        <f>IF(A218="","",IF(AND(L218=TRUE,'03_EXECUTION_LOG'!I218=FALSE),"high",IF(AND(L218=TRUE,'03_EXECUTION_LOG'!I218=TRUE),"medium","low")))</f>
        <v/>
      </c>
      <c r="O218" t="str">
        <f>IF(A218="","",IF(AND(L218=TRUE,'03_EXECUTION_LOG'!J218&lt;&gt;""),"yes","needs-review"))</f>
        <v/>
      </c>
    </row>
    <row r="219">
      <c r="A219" t="str">
        <f>IF('03_EXECUTION_LOG'!A219="","",'03_EXECUTION_LOG'!A219)</f>
        <v/>
      </c>
      <c r="B219" t="str">
        <f>IF('03_EXECUTION_LOG'!B219="","",LEFT('03_EXECUTION_LOG'!B219,7))</f>
        <v/>
      </c>
      <c r="C219" t="str">
        <f>IF('03_EXECUTION_LOG'!E219="","",'03_EXECUTION_LOG'!E219)</f>
        <v/>
      </c>
      <c r="D219" t="str">
        <f>IF(C219="","",INDEX('02_TASK_CATALOG'!E:E,MATCH(C219,'02_TASK_CATALOG'!A:A,0)))</f>
        <v/>
      </c>
      <c r="E219">
        <f>IF(C219="","",INDEX('02_TASK_CATALOG'!F:F,MATCH(C219,'02_TASK_CATALOG'!A:A,0)))</f>
        <v>0</v>
      </c>
      <c r="F219">
        <f>IF(C219="","",INDEX('02_TASK_CATALOG'!G:G,MATCH(C219,'02_TASK_CATALOG'!A:A,0)))</f>
        <v>0</v>
      </c>
      <c r="G219">
        <f>IF(C219="","",INDEX('02_TASK_CATALOG'!H:H,MATCH(C219,'02_TASK_CATALOG'!A:A,0)))</f>
        <v>0</v>
      </c>
      <c r="H219">
        <f>IF(A219="","",MAX(0,E219-F219-G219))</f>
        <v>0</v>
      </c>
      <c r="I219">
        <f>IF(A219="","",H219*IF('03_EXECUTION_LOG'!H219="",1,'03_EXECUTION_LOG'!H219)/60)</f>
        <v>0</v>
      </c>
      <c r="J219">
        <f>IF(D219="","",INDEX('01_ASSUMPTIONS'!C:C,MATCH(D219,'01_ASSUMPTIONS'!A:A,0)))</f>
        <v>0</v>
      </c>
      <c r="K219">
        <f>IF(OR(A219="",L219&lt;&gt;TRUE),0,I219*J219)</f>
        <v>0</v>
      </c>
      <c r="L219" t="b">
        <f>IF(A219="","",AND('03_EXECUTION_LOG'!F219="success",INDEX('02_TASK_CATALOG'!J:J,MATCH(C219,'02_TASK_CATALOG'!A:A,0))=TRUE,H219&gt;0,J219&gt;0,'03_EXECUTION_LOG'!J219&lt;&gt;""))</f>
        <v>0</v>
      </c>
      <c r="M219" t="str">
        <f>IF(A219="","",IF('03_EXECUTION_LOG'!F219&lt;&gt;"success","non-success status",IF(INDEX('02_TASK_CATALOG'!J:J,MATCH(C219,'02_TASK_CATALOG'!A:A,0))&lt;&gt;TRUE,"task not approved",IF(H219&lt;=0,"no net time saved",IF(J219&lt;=0,"missing labor rate",IF('03_EXECUTION_LOG'!J219="","missing evidence",""))))))</f>
        <v/>
      </c>
      <c r="N219" t="str">
        <f>IF(A219="","",IF(AND(L219=TRUE,'03_EXECUTION_LOG'!I219=FALSE),"high",IF(AND(L219=TRUE,'03_EXECUTION_LOG'!I219=TRUE),"medium","low")))</f>
        <v/>
      </c>
      <c r="O219" t="str">
        <f>IF(A219="","",IF(AND(L219=TRUE,'03_EXECUTION_LOG'!J219&lt;&gt;""),"yes","needs-review"))</f>
        <v/>
      </c>
    </row>
    <row r="220">
      <c r="A220" t="str">
        <f>IF('03_EXECUTION_LOG'!A220="","",'03_EXECUTION_LOG'!A220)</f>
        <v/>
      </c>
      <c r="B220" t="str">
        <f>IF('03_EXECUTION_LOG'!B220="","",LEFT('03_EXECUTION_LOG'!B220,7))</f>
        <v/>
      </c>
      <c r="C220" t="str">
        <f>IF('03_EXECUTION_LOG'!E220="","",'03_EXECUTION_LOG'!E220)</f>
        <v/>
      </c>
      <c r="D220" t="str">
        <f>IF(C220="","",INDEX('02_TASK_CATALOG'!E:E,MATCH(C220,'02_TASK_CATALOG'!A:A,0)))</f>
        <v/>
      </c>
      <c r="E220">
        <f>IF(C220="","",INDEX('02_TASK_CATALOG'!F:F,MATCH(C220,'02_TASK_CATALOG'!A:A,0)))</f>
        <v>0</v>
      </c>
      <c r="F220">
        <f>IF(C220="","",INDEX('02_TASK_CATALOG'!G:G,MATCH(C220,'02_TASK_CATALOG'!A:A,0)))</f>
        <v>0</v>
      </c>
      <c r="G220">
        <f>IF(C220="","",INDEX('02_TASK_CATALOG'!H:H,MATCH(C220,'02_TASK_CATALOG'!A:A,0)))</f>
        <v>0</v>
      </c>
      <c r="H220">
        <f>IF(A220="","",MAX(0,E220-F220-G220))</f>
        <v>0</v>
      </c>
      <c r="I220">
        <f>IF(A220="","",H220*IF('03_EXECUTION_LOG'!H220="",1,'03_EXECUTION_LOG'!H220)/60)</f>
        <v>0</v>
      </c>
      <c r="J220">
        <f>IF(D220="","",INDEX('01_ASSUMPTIONS'!C:C,MATCH(D220,'01_ASSUMPTIONS'!A:A,0)))</f>
        <v>0</v>
      </c>
      <c r="K220">
        <f>IF(OR(A220="",L220&lt;&gt;TRUE),0,I220*J220)</f>
        <v>0</v>
      </c>
      <c r="L220" t="b">
        <f>IF(A220="","",AND('03_EXECUTION_LOG'!F220="success",INDEX('02_TASK_CATALOG'!J:J,MATCH(C220,'02_TASK_CATALOG'!A:A,0))=TRUE,H220&gt;0,J220&gt;0,'03_EXECUTION_LOG'!J220&lt;&gt;""))</f>
        <v>0</v>
      </c>
      <c r="M220" t="str">
        <f>IF(A220="","",IF('03_EXECUTION_LOG'!F220&lt;&gt;"success","non-success status",IF(INDEX('02_TASK_CATALOG'!J:J,MATCH(C220,'02_TASK_CATALOG'!A:A,0))&lt;&gt;TRUE,"task not approved",IF(H220&lt;=0,"no net time saved",IF(J220&lt;=0,"missing labor rate",IF('03_EXECUTION_LOG'!J220="","missing evidence",""))))))</f>
        <v/>
      </c>
      <c r="N220" t="str">
        <f>IF(A220="","",IF(AND(L220=TRUE,'03_EXECUTION_LOG'!I220=FALSE),"high",IF(AND(L220=TRUE,'03_EXECUTION_LOG'!I220=TRUE),"medium","low")))</f>
        <v/>
      </c>
      <c r="O220" t="str">
        <f>IF(A220="","",IF(AND(L220=TRUE,'03_EXECUTION_LOG'!J220&lt;&gt;""),"yes","needs-review"))</f>
        <v/>
      </c>
    </row>
    <row r="221">
      <c r="A221" t="str">
        <f>IF('03_EXECUTION_LOG'!A221="","",'03_EXECUTION_LOG'!A221)</f>
        <v/>
      </c>
      <c r="B221" t="str">
        <f>IF('03_EXECUTION_LOG'!B221="","",LEFT('03_EXECUTION_LOG'!B221,7))</f>
        <v/>
      </c>
      <c r="C221" t="str">
        <f>IF('03_EXECUTION_LOG'!E221="","",'03_EXECUTION_LOG'!E221)</f>
        <v/>
      </c>
      <c r="D221" t="str">
        <f>IF(C221="","",INDEX('02_TASK_CATALOG'!E:E,MATCH(C221,'02_TASK_CATALOG'!A:A,0)))</f>
        <v/>
      </c>
      <c r="E221">
        <f>IF(C221="","",INDEX('02_TASK_CATALOG'!F:F,MATCH(C221,'02_TASK_CATALOG'!A:A,0)))</f>
        <v>0</v>
      </c>
      <c r="F221">
        <f>IF(C221="","",INDEX('02_TASK_CATALOG'!G:G,MATCH(C221,'02_TASK_CATALOG'!A:A,0)))</f>
        <v>0</v>
      </c>
      <c r="G221">
        <f>IF(C221="","",INDEX('02_TASK_CATALOG'!H:H,MATCH(C221,'02_TASK_CATALOG'!A:A,0)))</f>
        <v>0</v>
      </c>
      <c r="H221">
        <f>IF(A221="","",MAX(0,E221-F221-G221))</f>
        <v>0</v>
      </c>
      <c r="I221">
        <f>IF(A221="","",H221*IF('03_EXECUTION_LOG'!H221="",1,'03_EXECUTION_LOG'!H221)/60)</f>
        <v>0</v>
      </c>
      <c r="J221">
        <f>IF(D221="","",INDEX('01_ASSUMPTIONS'!C:C,MATCH(D221,'01_ASSUMPTIONS'!A:A,0)))</f>
        <v>0</v>
      </c>
      <c r="K221">
        <f>IF(OR(A221="",L221&lt;&gt;TRUE),0,I221*J221)</f>
        <v>0</v>
      </c>
      <c r="L221" t="b">
        <f>IF(A221="","",AND('03_EXECUTION_LOG'!F221="success",INDEX('02_TASK_CATALOG'!J:J,MATCH(C221,'02_TASK_CATALOG'!A:A,0))=TRUE,H221&gt;0,J221&gt;0,'03_EXECUTION_LOG'!J221&lt;&gt;""))</f>
        <v>0</v>
      </c>
      <c r="M221" t="str">
        <f>IF(A221="","",IF('03_EXECUTION_LOG'!F221&lt;&gt;"success","non-success status",IF(INDEX('02_TASK_CATALOG'!J:J,MATCH(C221,'02_TASK_CATALOG'!A:A,0))&lt;&gt;TRUE,"task not approved",IF(H221&lt;=0,"no net time saved",IF(J221&lt;=0,"missing labor rate",IF('03_EXECUTION_LOG'!J221="","missing evidence",""))))))</f>
        <v/>
      </c>
      <c r="N221" t="str">
        <f>IF(A221="","",IF(AND(L221=TRUE,'03_EXECUTION_LOG'!I221=FALSE),"high",IF(AND(L221=TRUE,'03_EXECUTION_LOG'!I221=TRUE),"medium","low")))</f>
        <v/>
      </c>
      <c r="O221" t="str">
        <f>IF(A221="","",IF(AND(L221=TRUE,'03_EXECUTION_LOG'!J221&lt;&gt;""),"yes","needs-review"))</f>
        <v/>
      </c>
    </row>
    <row r="222">
      <c r="A222" t="str">
        <f>IF('03_EXECUTION_LOG'!A222="","",'03_EXECUTION_LOG'!A222)</f>
        <v/>
      </c>
      <c r="B222" t="str">
        <f>IF('03_EXECUTION_LOG'!B222="","",LEFT('03_EXECUTION_LOG'!B222,7))</f>
        <v/>
      </c>
      <c r="C222" t="str">
        <f>IF('03_EXECUTION_LOG'!E222="","",'03_EXECUTION_LOG'!E222)</f>
        <v/>
      </c>
      <c r="D222" t="str">
        <f>IF(C222="","",INDEX('02_TASK_CATALOG'!E:E,MATCH(C222,'02_TASK_CATALOG'!A:A,0)))</f>
        <v/>
      </c>
      <c r="E222">
        <f>IF(C222="","",INDEX('02_TASK_CATALOG'!F:F,MATCH(C222,'02_TASK_CATALOG'!A:A,0)))</f>
        <v>0</v>
      </c>
      <c r="F222">
        <f>IF(C222="","",INDEX('02_TASK_CATALOG'!G:G,MATCH(C222,'02_TASK_CATALOG'!A:A,0)))</f>
        <v>0</v>
      </c>
      <c r="G222">
        <f>IF(C222="","",INDEX('02_TASK_CATALOG'!H:H,MATCH(C222,'02_TASK_CATALOG'!A:A,0)))</f>
        <v>0</v>
      </c>
      <c r="H222">
        <f>IF(A222="","",MAX(0,E222-F222-G222))</f>
        <v>0</v>
      </c>
      <c r="I222">
        <f>IF(A222="","",H222*IF('03_EXECUTION_LOG'!H222="",1,'03_EXECUTION_LOG'!H222)/60)</f>
        <v>0</v>
      </c>
      <c r="J222">
        <f>IF(D222="","",INDEX('01_ASSUMPTIONS'!C:C,MATCH(D222,'01_ASSUMPTIONS'!A:A,0)))</f>
        <v>0</v>
      </c>
      <c r="K222">
        <f>IF(OR(A222="",L222&lt;&gt;TRUE),0,I222*J222)</f>
        <v>0</v>
      </c>
      <c r="L222" t="b">
        <f>IF(A222="","",AND('03_EXECUTION_LOG'!F222="success",INDEX('02_TASK_CATALOG'!J:J,MATCH(C222,'02_TASK_CATALOG'!A:A,0))=TRUE,H222&gt;0,J222&gt;0,'03_EXECUTION_LOG'!J222&lt;&gt;""))</f>
        <v>0</v>
      </c>
      <c r="M222" t="str">
        <f>IF(A222="","",IF('03_EXECUTION_LOG'!F222&lt;&gt;"success","non-success status",IF(INDEX('02_TASK_CATALOG'!J:J,MATCH(C222,'02_TASK_CATALOG'!A:A,0))&lt;&gt;TRUE,"task not approved",IF(H222&lt;=0,"no net time saved",IF(J222&lt;=0,"missing labor rate",IF('03_EXECUTION_LOG'!J222="","missing evidence",""))))))</f>
        <v/>
      </c>
      <c r="N222" t="str">
        <f>IF(A222="","",IF(AND(L222=TRUE,'03_EXECUTION_LOG'!I222=FALSE),"high",IF(AND(L222=TRUE,'03_EXECUTION_LOG'!I222=TRUE),"medium","low")))</f>
        <v/>
      </c>
      <c r="O222" t="str">
        <f>IF(A222="","",IF(AND(L222=TRUE,'03_EXECUTION_LOG'!J222&lt;&gt;""),"yes","needs-review"))</f>
        <v/>
      </c>
    </row>
    <row r="223">
      <c r="A223" t="str">
        <f>IF('03_EXECUTION_LOG'!A223="","",'03_EXECUTION_LOG'!A223)</f>
        <v/>
      </c>
      <c r="B223" t="str">
        <f>IF('03_EXECUTION_LOG'!B223="","",LEFT('03_EXECUTION_LOG'!B223,7))</f>
        <v/>
      </c>
      <c r="C223" t="str">
        <f>IF('03_EXECUTION_LOG'!E223="","",'03_EXECUTION_LOG'!E223)</f>
        <v/>
      </c>
      <c r="D223" t="str">
        <f>IF(C223="","",INDEX('02_TASK_CATALOG'!E:E,MATCH(C223,'02_TASK_CATALOG'!A:A,0)))</f>
        <v/>
      </c>
      <c r="E223">
        <f>IF(C223="","",INDEX('02_TASK_CATALOG'!F:F,MATCH(C223,'02_TASK_CATALOG'!A:A,0)))</f>
        <v>0</v>
      </c>
      <c r="F223">
        <f>IF(C223="","",INDEX('02_TASK_CATALOG'!G:G,MATCH(C223,'02_TASK_CATALOG'!A:A,0)))</f>
        <v>0</v>
      </c>
      <c r="G223">
        <f>IF(C223="","",INDEX('02_TASK_CATALOG'!H:H,MATCH(C223,'02_TASK_CATALOG'!A:A,0)))</f>
        <v>0</v>
      </c>
      <c r="H223">
        <f>IF(A223="","",MAX(0,E223-F223-G223))</f>
        <v>0</v>
      </c>
      <c r="I223">
        <f>IF(A223="","",H223*IF('03_EXECUTION_LOG'!H223="",1,'03_EXECUTION_LOG'!H223)/60)</f>
        <v>0</v>
      </c>
      <c r="J223">
        <f>IF(D223="","",INDEX('01_ASSUMPTIONS'!C:C,MATCH(D223,'01_ASSUMPTIONS'!A:A,0)))</f>
        <v>0</v>
      </c>
      <c r="K223">
        <f>IF(OR(A223="",L223&lt;&gt;TRUE),0,I223*J223)</f>
        <v>0</v>
      </c>
      <c r="L223" t="b">
        <f>IF(A223="","",AND('03_EXECUTION_LOG'!F223="success",INDEX('02_TASK_CATALOG'!J:J,MATCH(C223,'02_TASK_CATALOG'!A:A,0))=TRUE,H223&gt;0,J223&gt;0,'03_EXECUTION_LOG'!J223&lt;&gt;""))</f>
        <v>0</v>
      </c>
      <c r="M223" t="str">
        <f>IF(A223="","",IF('03_EXECUTION_LOG'!F223&lt;&gt;"success","non-success status",IF(INDEX('02_TASK_CATALOG'!J:J,MATCH(C223,'02_TASK_CATALOG'!A:A,0))&lt;&gt;TRUE,"task not approved",IF(H223&lt;=0,"no net time saved",IF(J223&lt;=0,"missing labor rate",IF('03_EXECUTION_LOG'!J223="","missing evidence",""))))))</f>
        <v/>
      </c>
      <c r="N223" t="str">
        <f>IF(A223="","",IF(AND(L223=TRUE,'03_EXECUTION_LOG'!I223=FALSE),"high",IF(AND(L223=TRUE,'03_EXECUTION_LOG'!I223=TRUE),"medium","low")))</f>
        <v/>
      </c>
      <c r="O223" t="str">
        <f>IF(A223="","",IF(AND(L223=TRUE,'03_EXECUTION_LOG'!J223&lt;&gt;""),"yes","needs-review"))</f>
        <v/>
      </c>
    </row>
    <row r="224">
      <c r="A224" t="str">
        <f>IF('03_EXECUTION_LOG'!A224="","",'03_EXECUTION_LOG'!A224)</f>
        <v/>
      </c>
      <c r="B224" t="str">
        <f>IF('03_EXECUTION_LOG'!B224="","",LEFT('03_EXECUTION_LOG'!B224,7))</f>
        <v/>
      </c>
      <c r="C224" t="str">
        <f>IF('03_EXECUTION_LOG'!E224="","",'03_EXECUTION_LOG'!E224)</f>
        <v/>
      </c>
      <c r="D224" t="str">
        <f>IF(C224="","",INDEX('02_TASK_CATALOG'!E:E,MATCH(C224,'02_TASK_CATALOG'!A:A,0)))</f>
        <v/>
      </c>
      <c r="E224">
        <f>IF(C224="","",INDEX('02_TASK_CATALOG'!F:F,MATCH(C224,'02_TASK_CATALOG'!A:A,0)))</f>
        <v>0</v>
      </c>
      <c r="F224">
        <f>IF(C224="","",INDEX('02_TASK_CATALOG'!G:G,MATCH(C224,'02_TASK_CATALOG'!A:A,0)))</f>
        <v>0</v>
      </c>
      <c r="G224">
        <f>IF(C224="","",INDEX('02_TASK_CATALOG'!H:H,MATCH(C224,'02_TASK_CATALOG'!A:A,0)))</f>
        <v>0</v>
      </c>
      <c r="H224">
        <f>IF(A224="","",MAX(0,E224-F224-G224))</f>
        <v>0</v>
      </c>
      <c r="I224">
        <f>IF(A224="","",H224*IF('03_EXECUTION_LOG'!H224="",1,'03_EXECUTION_LOG'!H224)/60)</f>
        <v>0</v>
      </c>
      <c r="J224">
        <f>IF(D224="","",INDEX('01_ASSUMPTIONS'!C:C,MATCH(D224,'01_ASSUMPTIONS'!A:A,0)))</f>
        <v>0</v>
      </c>
      <c r="K224">
        <f>IF(OR(A224="",L224&lt;&gt;TRUE),0,I224*J224)</f>
        <v>0</v>
      </c>
      <c r="L224" t="b">
        <f>IF(A224="","",AND('03_EXECUTION_LOG'!F224="success",INDEX('02_TASK_CATALOG'!J:J,MATCH(C224,'02_TASK_CATALOG'!A:A,0))=TRUE,H224&gt;0,J224&gt;0,'03_EXECUTION_LOG'!J224&lt;&gt;""))</f>
        <v>0</v>
      </c>
      <c r="M224" t="str">
        <f>IF(A224="","",IF('03_EXECUTION_LOG'!F224&lt;&gt;"success","non-success status",IF(INDEX('02_TASK_CATALOG'!J:J,MATCH(C224,'02_TASK_CATALOG'!A:A,0))&lt;&gt;TRUE,"task not approved",IF(H224&lt;=0,"no net time saved",IF(J224&lt;=0,"missing labor rate",IF('03_EXECUTION_LOG'!J224="","missing evidence",""))))))</f>
        <v/>
      </c>
      <c r="N224" t="str">
        <f>IF(A224="","",IF(AND(L224=TRUE,'03_EXECUTION_LOG'!I224=FALSE),"high",IF(AND(L224=TRUE,'03_EXECUTION_LOG'!I224=TRUE),"medium","low")))</f>
        <v/>
      </c>
      <c r="O224" t="str">
        <f>IF(A224="","",IF(AND(L224=TRUE,'03_EXECUTION_LOG'!J224&lt;&gt;""),"yes","needs-review"))</f>
        <v/>
      </c>
    </row>
    <row r="225">
      <c r="A225" t="str">
        <f>IF('03_EXECUTION_LOG'!A225="","",'03_EXECUTION_LOG'!A225)</f>
        <v/>
      </c>
      <c r="B225" t="str">
        <f>IF('03_EXECUTION_LOG'!B225="","",LEFT('03_EXECUTION_LOG'!B225,7))</f>
        <v/>
      </c>
      <c r="C225" t="str">
        <f>IF('03_EXECUTION_LOG'!E225="","",'03_EXECUTION_LOG'!E225)</f>
        <v/>
      </c>
      <c r="D225" t="str">
        <f>IF(C225="","",INDEX('02_TASK_CATALOG'!E:E,MATCH(C225,'02_TASK_CATALOG'!A:A,0)))</f>
        <v/>
      </c>
      <c r="E225">
        <f>IF(C225="","",INDEX('02_TASK_CATALOG'!F:F,MATCH(C225,'02_TASK_CATALOG'!A:A,0)))</f>
        <v>0</v>
      </c>
      <c r="F225">
        <f>IF(C225="","",INDEX('02_TASK_CATALOG'!G:G,MATCH(C225,'02_TASK_CATALOG'!A:A,0)))</f>
        <v>0</v>
      </c>
      <c r="G225">
        <f>IF(C225="","",INDEX('02_TASK_CATALOG'!H:H,MATCH(C225,'02_TASK_CATALOG'!A:A,0)))</f>
        <v>0</v>
      </c>
      <c r="H225">
        <f>IF(A225="","",MAX(0,E225-F225-G225))</f>
        <v>0</v>
      </c>
      <c r="I225">
        <f>IF(A225="","",H225*IF('03_EXECUTION_LOG'!H225="",1,'03_EXECUTION_LOG'!H225)/60)</f>
        <v>0</v>
      </c>
      <c r="J225">
        <f>IF(D225="","",INDEX('01_ASSUMPTIONS'!C:C,MATCH(D225,'01_ASSUMPTIONS'!A:A,0)))</f>
        <v>0</v>
      </c>
      <c r="K225">
        <f>IF(OR(A225="",L225&lt;&gt;TRUE),0,I225*J225)</f>
        <v>0</v>
      </c>
      <c r="L225" t="b">
        <f>IF(A225="","",AND('03_EXECUTION_LOG'!F225="success",INDEX('02_TASK_CATALOG'!J:J,MATCH(C225,'02_TASK_CATALOG'!A:A,0))=TRUE,H225&gt;0,J225&gt;0,'03_EXECUTION_LOG'!J225&lt;&gt;""))</f>
        <v>0</v>
      </c>
      <c r="M225" t="str">
        <f>IF(A225="","",IF('03_EXECUTION_LOG'!F225&lt;&gt;"success","non-success status",IF(INDEX('02_TASK_CATALOG'!J:J,MATCH(C225,'02_TASK_CATALOG'!A:A,0))&lt;&gt;TRUE,"task not approved",IF(H225&lt;=0,"no net time saved",IF(J225&lt;=0,"missing labor rate",IF('03_EXECUTION_LOG'!J225="","missing evidence",""))))))</f>
        <v/>
      </c>
      <c r="N225" t="str">
        <f>IF(A225="","",IF(AND(L225=TRUE,'03_EXECUTION_LOG'!I225=FALSE),"high",IF(AND(L225=TRUE,'03_EXECUTION_LOG'!I225=TRUE),"medium","low")))</f>
        <v/>
      </c>
      <c r="O225" t="str">
        <f>IF(A225="","",IF(AND(L225=TRUE,'03_EXECUTION_LOG'!J225&lt;&gt;""),"yes","needs-review"))</f>
        <v/>
      </c>
    </row>
    <row r="226">
      <c r="A226" t="str">
        <f>IF('03_EXECUTION_LOG'!A226="","",'03_EXECUTION_LOG'!A226)</f>
        <v/>
      </c>
      <c r="B226" t="str">
        <f>IF('03_EXECUTION_LOG'!B226="","",LEFT('03_EXECUTION_LOG'!B226,7))</f>
        <v/>
      </c>
      <c r="C226" t="str">
        <f>IF('03_EXECUTION_LOG'!E226="","",'03_EXECUTION_LOG'!E226)</f>
        <v/>
      </c>
      <c r="D226" t="str">
        <f>IF(C226="","",INDEX('02_TASK_CATALOG'!E:E,MATCH(C226,'02_TASK_CATALOG'!A:A,0)))</f>
        <v/>
      </c>
      <c r="E226">
        <f>IF(C226="","",INDEX('02_TASK_CATALOG'!F:F,MATCH(C226,'02_TASK_CATALOG'!A:A,0)))</f>
        <v>0</v>
      </c>
      <c r="F226">
        <f>IF(C226="","",INDEX('02_TASK_CATALOG'!G:G,MATCH(C226,'02_TASK_CATALOG'!A:A,0)))</f>
        <v>0</v>
      </c>
      <c r="G226">
        <f>IF(C226="","",INDEX('02_TASK_CATALOG'!H:H,MATCH(C226,'02_TASK_CATALOG'!A:A,0)))</f>
        <v>0</v>
      </c>
      <c r="H226">
        <f>IF(A226="","",MAX(0,E226-F226-G226))</f>
        <v>0</v>
      </c>
      <c r="I226">
        <f>IF(A226="","",H226*IF('03_EXECUTION_LOG'!H226="",1,'03_EXECUTION_LOG'!H226)/60)</f>
        <v>0</v>
      </c>
      <c r="J226">
        <f>IF(D226="","",INDEX('01_ASSUMPTIONS'!C:C,MATCH(D226,'01_ASSUMPTIONS'!A:A,0)))</f>
        <v>0</v>
      </c>
      <c r="K226">
        <f>IF(OR(A226="",L226&lt;&gt;TRUE),0,I226*J226)</f>
        <v>0</v>
      </c>
      <c r="L226" t="b">
        <f>IF(A226="","",AND('03_EXECUTION_LOG'!F226="success",INDEX('02_TASK_CATALOG'!J:J,MATCH(C226,'02_TASK_CATALOG'!A:A,0))=TRUE,H226&gt;0,J226&gt;0,'03_EXECUTION_LOG'!J226&lt;&gt;""))</f>
        <v>0</v>
      </c>
      <c r="M226" t="str">
        <f>IF(A226="","",IF('03_EXECUTION_LOG'!F226&lt;&gt;"success","non-success status",IF(INDEX('02_TASK_CATALOG'!J:J,MATCH(C226,'02_TASK_CATALOG'!A:A,0))&lt;&gt;TRUE,"task not approved",IF(H226&lt;=0,"no net time saved",IF(J226&lt;=0,"missing labor rate",IF('03_EXECUTION_LOG'!J226="","missing evidence",""))))))</f>
        <v/>
      </c>
      <c r="N226" t="str">
        <f>IF(A226="","",IF(AND(L226=TRUE,'03_EXECUTION_LOG'!I226=FALSE),"high",IF(AND(L226=TRUE,'03_EXECUTION_LOG'!I226=TRUE),"medium","low")))</f>
        <v/>
      </c>
      <c r="O226" t="str">
        <f>IF(A226="","",IF(AND(L226=TRUE,'03_EXECUTION_LOG'!J226&lt;&gt;""),"yes","needs-review"))</f>
        <v/>
      </c>
    </row>
    <row r="227">
      <c r="A227" t="str">
        <f>IF('03_EXECUTION_LOG'!A227="","",'03_EXECUTION_LOG'!A227)</f>
        <v/>
      </c>
      <c r="B227" t="str">
        <f>IF('03_EXECUTION_LOG'!B227="","",LEFT('03_EXECUTION_LOG'!B227,7))</f>
        <v/>
      </c>
      <c r="C227" t="str">
        <f>IF('03_EXECUTION_LOG'!E227="","",'03_EXECUTION_LOG'!E227)</f>
        <v/>
      </c>
      <c r="D227" t="str">
        <f>IF(C227="","",INDEX('02_TASK_CATALOG'!E:E,MATCH(C227,'02_TASK_CATALOG'!A:A,0)))</f>
        <v/>
      </c>
      <c r="E227">
        <f>IF(C227="","",INDEX('02_TASK_CATALOG'!F:F,MATCH(C227,'02_TASK_CATALOG'!A:A,0)))</f>
        <v>0</v>
      </c>
      <c r="F227">
        <f>IF(C227="","",INDEX('02_TASK_CATALOG'!G:G,MATCH(C227,'02_TASK_CATALOG'!A:A,0)))</f>
        <v>0</v>
      </c>
      <c r="G227">
        <f>IF(C227="","",INDEX('02_TASK_CATALOG'!H:H,MATCH(C227,'02_TASK_CATALOG'!A:A,0)))</f>
        <v>0</v>
      </c>
      <c r="H227">
        <f>IF(A227="","",MAX(0,E227-F227-G227))</f>
        <v>0</v>
      </c>
      <c r="I227">
        <f>IF(A227="","",H227*IF('03_EXECUTION_LOG'!H227="",1,'03_EXECUTION_LOG'!H227)/60)</f>
        <v>0</v>
      </c>
      <c r="J227">
        <f>IF(D227="","",INDEX('01_ASSUMPTIONS'!C:C,MATCH(D227,'01_ASSUMPTIONS'!A:A,0)))</f>
        <v>0</v>
      </c>
      <c r="K227">
        <f>IF(OR(A227="",L227&lt;&gt;TRUE),0,I227*J227)</f>
        <v>0</v>
      </c>
      <c r="L227" t="b">
        <f>IF(A227="","",AND('03_EXECUTION_LOG'!F227="success",INDEX('02_TASK_CATALOG'!J:J,MATCH(C227,'02_TASK_CATALOG'!A:A,0))=TRUE,H227&gt;0,J227&gt;0,'03_EXECUTION_LOG'!J227&lt;&gt;""))</f>
        <v>0</v>
      </c>
      <c r="M227" t="str">
        <f>IF(A227="","",IF('03_EXECUTION_LOG'!F227&lt;&gt;"success","non-success status",IF(INDEX('02_TASK_CATALOG'!J:J,MATCH(C227,'02_TASK_CATALOG'!A:A,0))&lt;&gt;TRUE,"task not approved",IF(H227&lt;=0,"no net time saved",IF(J227&lt;=0,"missing labor rate",IF('03_EXECUTION_LOG'!J227="","missing evidence",""))))))</f>
        <v/>
      </c>
      <c r="N227" t="str">
        <f>IF(A227="","",IF(AND(L227=TRUE,'03_EXECUTION_LOG'!I227=FALSE),"high",IF(AND(L227=TRUE,'03_EXECUTION_LOG'!I227=TRUE),"medium","low")))</f>
        <v/>
      </c>
      <c r="O227" t="str">
        <f>IF(A227="","",IF(AND(L227=TRUE,'03_EXECUTION_LOG'!J227&lt;&gt;""),"yes","needs-review"))</f>
        <v/>
      </c>
    </row>
    <row r="228">
      <c r="A228" t="str">
        <f>IF('03_EXECUTION_LOG'!A228="","",'03_EXECUTION_LOG'!A228)</f>
        <v/>
      </c>
      <c r="B228" t="str">
        <f>IF('03_EXECUTION_LOG'!B228="","",LEFT('03_EXECUTION_LOG'!B228,7))</f>
        <v/>
      </c>
      <c r="C228" t="str">
        <f>IF('03_EXECUTION_LOG'!E228="","",'03_EXECUTION_LOG'!E228)</f>
        <v/>
      </c>
      <c r="D228" t="str">
        <f>IF(C228="","",INDEX('02_TASK_CATALOG'!E:E,MATCH(C228,'02_TASK_CATALOG'!A:A,0)))</f>
        <v/>
      </c>
      <c r="E228">
        <f>IF(C228="","",INDEX('02_TASK_CATALOG'!F:F,MATCH(C228,'02_TASK_CATALOG'!A:A,0)))</f>
        <v>0</v>
      </c>
      <c r="F228">
        <f>IF(C228="","",INDEX('02_TASK_CATALOG'!G:G,MATCH(C228,'02_TASK_CATALOG'!A:A,0)))</f>
        <v>0</v>
      </c>
      <c r="G228">
        <f>IF(C228="","",INDEX('02_TASK_CATALOG'!H:H,MATCH(C228,'02_TASK_CATALOG'!A:A,0)))</f>
        <v>0</v>
      </c>
      <c r="H228">
        <f>IF(A228="","",MAX(0,E228-F228-G228))</f>
        <v>0</v>
      </c>
      <c r="I228">
        <f>IF(A228="","",H228*IF('03_EXECUTION_LOG'!H228="",1,'03_EXECUTION_LOG'!H228)/60)</f>
        <v>0</v>
      </c>
      <c r="J228">
        <f>IF(D228="","",INDEX('01_ASSUMPTIONS'!C:C,MATCH(D228,'01_ASSUMPTIONS'!A:A,0)))</f>
        <v>0</v>
      </c>
      <c r="K228">
        <f>IF(OR(A228="",L228&lt;&gt;TRUE),0,I228*J228)</f>
        <v>0</v>
      </c>
      <c r="L228" t="b">
        <f>IF(A228="","",AND('03_EXECUTION_LOG'!F228="success",INDEX('02_TASK_CATALOG'!J:J,MATCH(C228,'02_TASK_CATALOG'!A:A,0))=TRUE,H228&gt;0,J228&gt;0,'03_EXECUTION_LOG'!J228&lt;&gt;""))</f>
        <v>0</v>
      </c>
      <c r="M228" t="str">
        <f>IF(A228="","",IF('03_EXECUTION_LOG'!F228&lt;&gt;"success","non-success status",IF(INDEX('02_TASK_CATALOG'!J:J,MATCH(C228,'02_TASK_CATALOG'!A:A,0))&lt;&gt;TRUE,"task not approved",IF(H228&lt;=0,"no net time saved",IF(J228&lt;=0,"missing labor rate",IF('03_EXECUTION_LOG'!J228="","missing evidence",""))))))</f>
        <v/>
      </c>
      <c r="N228" t="str">
        <f>IF(A228="","",IF(AND(L228=TRUE,'03_EXECUTION_LOG'!I228=FALSE),"high",IF(AND(L228=TRUE,'03_EXECUTION_LOG'!I228=TRUE),"medium","low")))</f>
        <v/>
      </c>
      <c r="O228" t="str">
        <f>IF(A228="","",IF(AND(L228=TRUE,'03_EXECUTION_LOG'!J228&lt;&gt;""),"yes","needs-review"))</f>
        <v/>
      </c>
    </row>
    <row r="229">
      <c r="A229" t="str">
        <f>IF('03_EXECUTION_LOG'!A229="","",'03_EXECUTION_LOG'!A229)</f>
        <v/>
      </c>
      <c r="B229" t="str">
        <f>IF('03_EXECUTION_LOG'!B229="","",LEFT('03_EXECUTION_LOG'!B229,7))</f>
        <v/>
      </c>
      <c r="C229" t="str">
        <f>IF('03_EXECUTION_LOG'!E229="","",'03_EXECUTION_LOG'!E229)</f>
        <v/>
      </c>
      <c r="D229" t="str">
        <f>IF(C229="","",INDEX('02_TASK_CATALOG'!E:E,MATCH(C229,'02_TASK_CATALOG'!A:A,0)))</f>
        <v/>
      </c>
      <c r="E229">
        <f>IF(C229="","",INDEX('02_TASK_CATALOG'!F:F,MATCH(C229,'02_TASK_CATALOG'!A:A,0)))</f>
        <v>0</v>
      </c>
      <c r="F229">
        <f>IF(C229="","",INDEX('02_TASK_CATALOG'!G:G,MATCH(C229,'02_TASK_CATALOG'!A:A,0)))</f>
        <v>0</v>
      </c>
      <c r="G229">
        <f>IF(C229="","",INDEX('02_TASK_CATALOG'!H:H,MATCH(C229,'02_TASK_CATALOG'!A:A,0)))</f>
        <v>0</v>
      </c>
      <c r="H229">
        <f>IF(A229="","",MAX(0,E229-F229-G229))</f>
        <v>0</v>
      </c>
      <c r="I229">
        <f>IF(A229="","",H229*IF('03_EXECUTION_LOG'!H229="",1,'03_EXECUTION_LOG'!H229)/60)</f>
        <v>0</v>
      </c>
      <c r="J229">
        <f>IF(D229="","",INDEX('01_ASSUMPTIONS'!C:C,MATCH(D229,'01_ASSUMPTIONS'!A:A,0)))</f>
        <v>0</v>
      </c>
      <c r="K229">
        <f>IF(OR(A229="",L229&lt;&gt;TRUE),0,I229*J229)</f>
        <v>0</v>
      </c>
      <c r="L229" t="b">
        <f>IF(A229="","",AND('03_EXECUTION_LOG'!F229="success",INDEX('02_TASK_CATALOG'!J:J,MATCH(C229,'02_TASK_CATALOG'!A:A,0))=TRUE,H229&gt;0,J229&gt;0,'03_EXECUTION_LOG'!J229&lt;&gt;""))</f>
        <v>0</v>
      </c>
      <c r="M229" t="str">
        <f>IF(A229="","",IF('03_EXECUTION_LOG'!F229&lt;&gt;"success","non-success status",IF(INDEX('02_TASK_CATALOG'!J:J,MATCH(C229,'02_TASK_CATALOG'!A:A,0))&lt;&gt;TRUE,"task not approved",IF(H229&lt;=0,"no net time saved",IF(J229&lt;=0,"missing labor rate",IF('03_EXECUTION_LOG'!J229="","missing evidence",""))))))</f>
        <v/>
      </c>
      <c r="N229" t="str">
        <f>IF(A229="","",IF(AND(L229=TRUE,'03_EXECUTION_LOG'!I229=FALSE),"high",IF(AND(L229=TRUE,'03_EXECUTION_LOG'!I229=TRUE),"medium","low")))</f>
        <v/>
      </c>
      <c r="O229" t="str">
        <f>IF(A229="","",IF(AND(L229=TRUE,'03_EXECUTION_LOG'!J229&lt;&gt;""),"yes","needs-review"))</f>
        <v/>
      </c>
    </row>
    <row r="230">
      <c r="A230" t="str">
        <f>IF('03_EXECUTION_LOG'!A230="","",'03_EXECUTION_LOG'!A230)</f>
        <v/>
      </c>
      <c r="B230" t="str">
        <f>IF('03_EXECUTION_LOG'!B230="","",LEFT('03_EXECUTION_LOG'!B230,7))</f>
        <v/>
      </c>
      <c r="C230" t="str">
        <f>IF('03_EXECUTION_LOG'!E230="","",'03_EXECUTION_LOG'!E230)</f>
        <v/>
      </c>
      <c r="D230" t="str">
        <f>IF(C230="","",INDEX('02_TASK_CATALOG'!E:E,MATCH(C230,'02_TASK_CATALOG'!A:A,0)))</f>
        <v/>
      </c>
      <c r="E230">
        <f>IF(C230="","",INDEX('02_TASK_CATALOG'!F:F,MATCH(C230,'02_TASK_CATALOG'!A:A,0)))</f>
        <v>0</v>
      </c>
      <c r="F230">
        <f>IF(C230="","",INDEX('02_TASK_CATALOG'!G:G,MATCH(C230,'02_TASK_CATALOG'!A:A,0)))</f>
        <v>0</v>
      </c>
      <c r="G230">
        <f>IF(C230="","",INDEX('02_TASK_CATALOG'!H:H,MATCH(C230,'02_TASK_CATALOG'!A:A,0)))</f>
        <v>0</v>
      </c>
      <c r="H230">
        <f>IF(A230="","",MAX(0,E230-F230-G230))</f>
        <v>0</v>
      </c>
      <c r="I230">
        <f>IF(A230="","",H230*IF('03_EXECUTION_LOG'!H230="",1,'03_EXECUTION_LOG'!H230)/60)</f>
        <v>0</v>
      </c>
      <c r="J230">
        <f>IF(D230="","",INDEX('01_ASSUMPTIONS'!C:C,MATCH(D230,'01_ASSUMPTIONS'!A:A,0)))</f>
        <v>0</v>
      </c>
      <c r="K230">
        <f>IF(OR(A230="",L230&lt;&gt;TRUE),0,I230*J230)</f>
        <v>0</v>
      </c>
      <c r="L230" t="b">
        <f>IF(A230="","",AND('03_EXECUTION_LOG'!F230="success",INDEX('02_TASK_CATALOG'!J:J,MATCH(C230,'02_TASK_CATALOG'!A:A,0))=TRUE,H230&gt;0,J230&gt;0,'03_EXECUTION_LOG'!J230&lt;&gt;""))</f>
        <v>0</v>
      </c>
      <c r="M230" t="str">
        <f>IF(A230="","",IF('03_EXECUTION_LOG'!F230&lt;&gt;"success","non-success status",IF(INDEX('02_TASK_CATALOG'!J:J,MATCH(C230,'02_TASK_CATALOG'!A:A,0))&lt;&gt;TRUE,"task not approved",IF(H230&lt;=0,"no net time saved",IF(J230&lt;=0,"missing labor rate",IF('03_EXECUTION_LOG'!J230="","missing evidence",""))))))</f>
        <v/>
      </c>
      <c r="N230" t="str">
        <f>IF(A230="","",IF(AND(L230=TRUE,'03_EXECUTION_LOG'!I230=FALSE),"high",IF(AND(L230=TRUE,'03_EXECUTION_LOG'!I230=TRUE),"medium","low")))</f>
        <v/>
      </c>
      <c r="O230" t="str">
        <f>IF(A230="","",IF(AND(L230=TRUE,'03_EXECUTION_LOG'!J230&lt;&gt;""),"yes","needs-review"))</f>
        <v/>
      </c>
    </row>
    <row r="231">
      <c r="A231" t="str">
        <f>IF('03_EXECUTION_LOG'!A231="","",'03_EXECUTION_LOG'!A231)</f>
        <v/>
      </c>
      <c r="B231" t="str">
        <f>IF('03_EXECUTION_LOG'!B231="","",LEFT('03_EXECUTION_LOG'!B231,7))</f>
        <v/>
      </c>
      <c r="C231" t="str">
        <f>IF('03_EXECUTION_LOG'!E231="","",'03_EXECUTION_LOG'!E231)</f>
        <v/>
      </c>
      <c r="D231" t="str">
        <f>IF(C231="","",INDEX('02_TASK_CATALOG'!E:E,MATCH(C231,'02_TASK_CATALOG'!A:A,0)))</f>
        <v/>
      </c>
      <c r="E231">
        <f>IF(C231="","",INDEX('02_TASK_CATALOG'!F:F,MATCH(C231,'02_TASK_CATALOG'!A:A,0)))</f>
        <v>0</v>
      </c>
      <c r="F231">
        <f>IF(C231="","",INDEX('02_TASK_CATALOG'!G:G,MATCH(C231,'02_TASK_CATALOG'!A:A,0)))</f>
        <v>0</v>
      </c>
      <c r="G231">
        <f>IF(C231="","",INDEX('02_TASK_CATALOG'!H:H,MATCH(C231,'02_TASK_CATALOG'!A:A,0)))</f>
        <v>0</v>
      </c>
      <c r="H231">
        <f>IF(A231="","",MAX(0,E231-F231-G231))</f>
        <v>0</v>
      </c>
      <c r="I231">
        <f>IF(A231="","",H231*IF('03_EXECUTION_LOG'!H231="",1,'03_EXECUTION_LOG'!H231)/60)</f>
        <v>0</v>
      </c>
      <c r="J231">
        <f>IF(D231="","",INDEX('01_ASSUMPTIONS'!C:C,MATCH(D231,'01_ASSUMPTIONS'!A:A,0)))</f>
        <v>0</v>
      </c>
      <c r="K231">
        <f>IF(OR(A231="",L231&lt;&gt;TRUE),0,I231*J231)</f>
        <v>0</v>
      </c>
      <c r="L231" t="b">
        <f>IF(A231="","",AND('03_EXECUTION_LOG'!F231="success",INDEX('02_TASK_CATALOG'!J:J,MATCH(C231,'02_TASK_CATALOG'!A:A,0))=TRUE,H231&gt;0,J231&gt;0,'03_EXECUTION_LOG'!J231&lt;&gt;""))</f>
        <v>0</v>
      </c>
      <c r="M231" t="str">
        <f>IF(A231="","",IF('03_EXECUTION_LOG'!F231&lt;&gt;"success","non-success status",IF(INDEX('02_TASK_CATALOG'!J:J,MATCH(C231,'02_TASK_CATALOG'!A:A,0))&lt;&gt;TRUE,"task not approved",IF(H231&lt;=0,"no net time saved",IF(J231&lt;=0,"missing labor rate",IF('03_EXECUTION_LOG'!J231="","missing evidence",""))))))</f>
        <v/>
      </c>
      <c r="N231" t="str">
        <f>IF(A231="","",IF(AND(L231=TRUE,'03_EXECUTION_LOG'!I231=FALSE),"high",IF(AND(L231=TRUE,'03_EXECUTION_LOG'!I231=TRUE),"medium","low")))</f>
        <v/>
      </c>
      <c r="O231" t="str">
        <f>IF(A231="","",IF(AND(L231=TRUE,'03_EXECUTION_LOG'!J231&lt;&gt;""),"yes","needs-review"))</f>
        <v/>
      </c>
    </row>
    <row r="232">
      <c r="A232" t="str">
        <f>IF('03_EXECUTION_LOG'!A232="","",'03_EXECUTION_LOG'!A232)</f>
        <v/>
      </c>
      <c r="B232" t="str">
        <f>IF('03_EXECUTION_LOG'!B232="","",LEFT('03_EXECUTION_LOG'!B232,7))</f>
        <v/>
      </c>
      <c r="C232" t="str">
        <f>IF('03_EXECUTION_LOG'!E232="","",'03_EXECUTION_LOG'!E232)</f>
        <v/>
      </c>
      <c r="D232" t="str">
        <f>IF(C232="","",INDEX('02_TASK_CATALOG'!E:E,MATCH(C232,'02_TASK_CATALOG'!A:A,0)))</f>
        <v/>
      </c>
      <c r="E232">
        <f>IF(C232="","",INDEX('02_TASK_CATALOG'!F:F,MATCH(C232,'02_TASK_CATALOG'!A:A,0)))</f>
        <v>0</v>
      </c>
      <c r="F232">
        <f>IF(C232="","",INDEX('02_TASK_CATALOG'!G:G,MATCH(C232,'02_TASK_CATALOG'!A:A,0)))</f>
        <v>0</v>
      </c>
      <c r="G232">
        <f>IF(C232="","",INDEX('02_TASK_CATALOG'!H:H,MATCH(C232,'02_TASK_CATALOG'!A:A,0)))</f>
        <v>0</v>
      </c>
      <c r="H232">
        <f>IF(A232="","",MAX(0,E232-F232-G232))</f>
        <v>0</v>
      </c>
      <c r="I232">
        <f>IF(A232="","",H232*IF('03_EXECUTION_LOG'!H232="",1,'03_EXECUTION_LOG'!H232)/60)</f>
        <v>0</v>
      </c>
      <c r="J232">
        <f>IF(D232="","",INDEX('01_ASSUMPTIONS'!C:C,MATCH(D232,'01_ASSUMPTIONS'!A:A,0)))</f>
        <v>0</v>
      </c>
      <c r="K232">
        <f>IF(OR(A232="",L232&lt;&gt;TRUE),0,I232*J232)</f>
        <v>0</v>
      </c>
      <c r="L232" t="b">
        <f>IF(A232="","",AND('03_EXECUTION_LOG'!F232="success",INDEX('02_TASK_CATALOG'!J:J,MATCH(C232,'02_TASK_CATALOG'!A:A,0))=TRUE,H232&gt;0,J232&gt;0,'03_EXECUTION_LOG'!J232&lt;&gt;""))</f>
        <v>0</v>
      </c>
      <c r="M232" t="str">
        <f>IF(A232="","",IF('03_EXECUTION_LOG'!F232&lt;&gt;"success","non-success status",IF(INDEX('02_TASK_CATALOG'!J:J,MATCH(C232,'02_TASK_CATALOG'!A:A,0))&lt;&gt;TRUE,"task not approved",IF(H232&lt;=0,"no net time saved",IF(J232&lt;=0,"missing labor rate",IF('03_EXECUTION_LOG'!J232="","missing evidence",""))))))</f>
        <v/>
      </c>
      <c r="N232" t="str">
        <f>IF(A232="","",IF(AND(L232=TRUE,'03_EXECUTION_LOG'!I232=FALSE),"high",IF(AND(L232=TRUE,'03_EXECUTION_LOG'!I232=TRUE),"medium","low")))</f>
        <v/>
      </c>
      <c r="O232" t="str">
        <f>IF(A232="","",IF(AND(L232=TRUE,'03_EXECUTION_LOG'!J232&lt;&gt;""),"yes","needs-review"))</f>
        <v/>
      </c>
    </row>
    <row r="233">
      <c r="A233" t="str">
        <f>IF('03_EXECUTION_LOG'!A233="","",'03_EXECUTION_LOG'!A233)</f>
        <v/>
      </c>
      <c r="B233" t="str">
        <f>IF('03_EXECUTION_LOG'!B233="","",LEFT('03_EXECUTION_LOG'!B233,7))</f>
        <v/>
      </c>
      <c r="C233" t="str">
        <f>IF('03_EXECUTION_LOG'!E233="","",'03_EXECUTION_LOG'!E233)</f>
        <v/>
      </c>
      <c r="D233" t="str">
        <f>IF(C233="","",INDEX('02_TASK_CATALOG'!E:E,MATCH(C233,'02_TASK_CATALOG'!A:A,0)))</f>
        <v/>
      </c>
      <c r="E233">
        <f>IF(C233="","",INDEX('02_TASK_CATALOG'!F:F,MATCH(C233,'02_TASK_CATALOG'!A:A,0)))</f>
        <v>0</v>
      </c>
      <c r="F233">
        <f>IF(C233="","",INDEX('02_TASK_CATALOG'!G:G,MATCH(C233,'02_TASK_CATALOG'!A:A,0)))</f>
        <v>0</v>
      </c>
      <c r="G233">
        <f>IF(C233="","",INDEX('02_TASK_CATALOG'!H:H,MATCH(C233,'02_TASK_CATALOG'!A:A,0)))</f>
        <v>0</v>
      </c>
      <c r="H233">
        <f>IF(A233="","",MAX(0,E233-F233-G233))</f>
        <v>0</v>
      </c>
      <c r="I233">
        <f>IF(A233="","",H233*IF('03_EXECUTION_LOG'!H233="",1,'03_EXECUTION_LOG'!H233)/60)</f>
        <v>0</v>
      </c>
      <c r="J233">
        <f>IF(D233="","",INDEX('01_ASSUMPTIONS'!C:C,MATCH(D233,'01_ASSUMPTIONS'!A:A,0)))</f>
        <v>0</v>
      </c>
      <c r="K233">
        <f>IF(OR(A233="",L233&lt;&gt;TRUE),0,I233*J233)</f>
        <v>0</v>
      </c>
      <c r="L233" t="b">
        <f>IF(A233="","",AND('03_EXECUTION_LOG'!F233="success",INDEX('02_TASK_CATALOG'!J:J,MATCH(C233,'02_TASK_CATALOG'!A:A,0))=TRUE,H233&gt;0,J233&gt;0,'03_EXECUTION_LOG'!J233&lt;&gt;""))</f>
        <v>0</v>
      </c>
      <c r="M233" t="str">
        <f>IF(A233="","",IF('03_EXECUTION_LOG'!F233&lt;&gt;"success","non-success status",IF(INDEX('02_TASK_CATALOG'!J:J,MATCH(C233,'02_TASK_CATALOG'!A:A,0))&lt;&gt;TRUE,"task not approved",IF(H233&lt;=0,"no net time saved",IF(J233&lt;=0,"missing labor rate",IF('03_EXECUTION_LOG'!J233="","missing evidence",""))))))</f>
        <v/>
      </c>
      <c r="N233" t="str">
        <f>IF(A233="","",IF(AND(L233=TRUE,'03_EXECUTION_LOG'!I233=FALSE),"high",IF(AND(L233=TRUE,'03_EXECUTION_LOG'!I233=TRUE),"medium","low")))</f>
        <v/>
      </c>
      <c r="O233" t="str">
        <f>IF(A233="","",IF(AND(L233=TRUE,'03_EXECUTION_LOG'!J233&lt;&gt;""),"yes","needs-review"))</f>
        <v/>
      </c>
    </row>
    <row r="234">
      <c r="A234" t="str">
        <f>IF('03_EXECUTION_LOG'!A234="","",'03_EXECUTION_LOG'!A234)</f>
        <v/>
      </c>
      <c r="B234" t="str">
        <f>IF('03_EXECUTION_LOG'!B234="","",LEFT('03_EXECUTION_LOG'!B234,7))</f>
        <v/>
      </c>
      <c r="C234" t="str">
        <f>IF('03_EXECUTION_LOG'!E234="","",'03_EXECUTION_LOG'!E234)</f>
        <v/>
      </c>
      <c r="D234" t="str">
        <f>IF(C234="","",INDEX('02_TASK_CATALOG'!E:E,MATCH(C234,'02_TASK_CATALOG'!A:A,0)))</f>
        <v/>
      </c>
      <c r="E234">
        <f>IF(C234="","",INDEX('02_TASK_CATALOG'!F:F,MATCH(C234,'02_TASK_CATALOG'!A:A,0)))</f>
        <v>0</v>
      </c>
      <c r="F234">
        <f>IF(C234="","",INDEX('02_TASK_CATALOG'!G:G,MATCH(C234,'02_TASK_CATALOG'!A:A,0)))</f>
        <v>0</v>
      </c>
      <c r="G234">
        <f>IF(C234="","",INDEX('02_TASK_CATALOG'!H:H,MATCH(C234,'02_TASK_CATALOG'!A:A,0)))</f>
        <v>0</v>
      </c>
      <c r="H234">
        <f>IF(A234="","",MAX(0,E234-F234-G234))</f>
        <v>0</v>
      </c>
      <c r="I234">
        <f>IF(A234="","",H234*IF('03_EXECUTION_LOG'!H234="",1,'03_EXECUTION_LOG'!H234)/60)</f>
        <v>0</v>
      </c>
      <c r="J234">
        <f>IF(D234="","",INDEX('01_ASSUMPTIONS'!C:C,MATCH(D234,'01_ASSUMPTIONS'!A:A,0)))</f>
        <v>0</v>
      </c>
      <c r="K234">
        <f>IF(OR(A234="",L234&lt;&gt;TRUE),0,I234*J234)</f>
        <v>0</v>
      </c>
      <c r="L234" t="b">
        <f>IF(A234="","",AND('03_EXECUTION_LOG'!F234="success",INDEX('02_TASK_CATALOG'!J:J,MATCH(C234,'02_TASK_CATALOG'!A:A,0))=TRUE,H234&gt;0,J234&gt;0,'03_EXECUTION_LOG'!J234&lt;&gt;""))</f>
        <v>0</v>
      </c>
      <c r="M234" t="str">
        <f>IF(A234="","",IF('03_EXECUTION_LOG'!F234&lt;&gt;"success","non-success status",IF(INDEX('02_TASK_CATALOG'!J:J,MATCH(C234,'02_TASK_CATALOG'!A:A,0))&lt;&gt;TRUE,"task not approved",IF(H234&lt;=0,"no net time saved",IF(J234&lt;=0,"missing labor rate",IF('03_EXECUTION_LOG'!J234="","missing evidence",""))))))</f>
        <v/>
      </c>
      <c r="N234" t="str">
        <f>IF(A234="","",IF(AND(L234=TRUE,'03_EXECUTION_LOG'!I234=FALSE),"high",IF(AND(L234=TRUE,'03_EXECUTION_LOG'!I234=TRUE),"medium","low")))</f>
        <v/>
      </c>
      <c r="O234" t="str">
        <f>IF(A234="","",IF(AND(L234=TRUE,'03_EXECUTION_LOG'!J234&lt;&gt;""),"yes","needs-review"))</f>
        <v/>
      </c>
    </row>
    <row r="235">
      <c r="A235" t="str">
        <f>IF('03_EXECUTION_LOG'!A235="","",'03_EXECUTION_LOG'!A235)</f>
        <v/>
      </c>
      <c r="B235" t="str">
        <f>IF('03_EXECUTION_LOG'!B235="","",LEFT('03_EXECUTION_LOG'!B235,7))</f>
        <v/>
      </c>
      <c r="C235" t="str">
        <f>IF('03_EXECUTION_LOG'!E235="","",'03_EXECUTION_LOG'!E235)</f>
        <v/>
      </c>
      <c r="D235" t="str">
        <f>IF(C235="","",INDEX('02_TASK_CATALOG'!E:E,MATCH(C235,'02_TASK_CATALOG'!A:A,0)))</f>
        <v/>
      </c>
      <c r="E235">
        <f>IF(C235="","",INDEX('02_TASK_CATALOG'!F:F,MATCH(C235,'02_TASK_CATALOG'!A:A,0)))</f>
        <v>0</v>
      </c>
      <c r="F235">
        <f>IF(C235="","",INDEX('02_TASK_CATALOG'!G:G,MATCH(C235,'02_TASK_CATALOG'!A:A,0)))</f>
        <v>0</v>
      </c>
      <c r="G235">
        <f>IF(C235="","",INDEX('02_TASK_CATALOG'!H:H,MATCH(C235,'02_TASK_CATALOG'!A:A,0)))</f>
        <v>0</v>
      </c>
      <c r="H235">
        <f>IF(A235="","",MAX(0,E235-F235-G235))</f>
        <v>0</v>
      </c>
      <c r="I235">
        <f>IF(A235="","",H235*IF('03_EXECUTION_LOG'!H235="",1,'03_EXECUTION_LOG'!H235)/60)</f>
        <v>0</v>
      </c>
      <c r="J235">
        <f>IF(D235="","",INDEX('01_ASSUMPTIONS'!C:C,MATCH(D235,'01_ASSUMPTIONS'!A:A,0)))</f>
        <v>0</v>
      </c>
      <c r="K235">
        <f>IF(OR(A235="",L235&lt;&gt;TRUE),0,I235*J235)</f>
        <v>0</v>
      </c>
      <c r="L235" t="b">
        <f>IF(A235="","",AND('03_EXECUTION_LOG'!F235="success",INDEX('02_TASK_CATALOG'!J:J,MATCH(C235,'02_TASK_CATALOG'!A:A,0))=TRUE,H235&gt;0,J235&gt;0,'03_EXECUTION_LOG'!J235&lt;&gt;""))</f>
        <v>0</v>
      </c>
      <c r="M235" t="str">
        <f>IF(A235="","",IF('03_EXECUTION_LOG'!F235&lt;&gt;"success","non-success status",IF(INDEX('02_TASK_CATALOG'!J:J,MATCH(C235,'02_TASK_CATALOG'!A:A,0))&lt;&gt;TRUE,"task not approved",IF(H235&lt;=0,"no net time saved",IF(J235&lt;=0,"missing labor rate",IF('03_EXECUTION_LOG'!J235="","missing evidence",""))))))</f>
        <v/>
      </c>
      <c r="N235" t="str">
        <f>IF(A235="","",IF(AND(L235=TRUE,'03_EXECUTION_LOG'!I235=FALSE),"high",IF(AND(L235=TRUE,'03_EXECUTION_LOG'!I235=TRUE),"medium","low")))</f>
        <v/>
      </c>
      <c r="O235" t="str">
        <f>IF(A235="","",IF(AND(L235=TRUE,'03_EXECUTION_LOG'!J235&lt;&gt;""),"yes","needs-review"))</f>
        <v/>
      </c>
    </row>
    <row r="236">
      <c r="A236" t="str">
        <f>IF('03_EXECUTION_LOG'!A236="","",'03_EXECUTION_LOG'!A236)</f>
        <v/>
      </c>
      <c r="B236" t="str">
        <f>IF('03_EXECUTION_LOG'!B236="","",LEFT('03_EXECUTION_LOG'!B236,7))</f>
        <v/>
      </c>
      <c r="C236" t="str">
        <f>IF('03_EXECUTION_LOG'!E236="","",'03_EXECUTION_LOG'!E236)</f>
        <v/>
      </c>
      <c r="D236" t="str">
        <f>IF(C236="","",INDEX('02_TASK_CATALOG'!E:E,MATCH(C236,'02_TASK_CATALOG'!A:A,0)))</f>
        <v/>
      </c>
      <c r="E236">
        <f>IF(C236="","",INDEX('02_TASK_CATALOG'!F:F,MATCH(C236,'02_TASK_CATALOG'!A:A,0)))</f>
        <v>0</v>
      </c>
      <c r="F236">
        <f>IF(C236="","",INDEX('02_TASK_CATALOG'!G:G,MATCH(C236,'02_TASK_CATALOG'!A:A,0)))</f>
        <v>0</v>
      </c>
      <c r="G236">
        <f>IF(C236="","",INDEX('02_TASK_CATALOG'!H:H,MATCH(C236,'02_TASK_CATALOG'!A:A,0)))</f>
        <v>0</v>
      </c>
      <c r="H236">
        <f>IF(A236="","",MAX(0,E236-F236-G236))</f>
        <v>0</v>
      </c>
      <c r="I236">
        <f>IF(A236="","",H236*IF('03_EXECUTION_LOG'!H236="",1,'03_EXECUTION_LOG'!H236)/60)</f>
        <v>0</v>
      </c>
      <c r="J236">
        <f>IF(D236="","",INDEX('01_ASSUMPTIONS'!C:C,MATCH(D236,'01_ASSUMPTIONS'!A:A,0)))</f>
        <v>0</v>
      </c>
      <c r="K236">
        <f>IF(OR(A236="",L236&lt;&gt;TRUE),0,I236*J236)</f>
        <v>0</v>
      </c>
      <c r="L236" t="b">
        <f>IF(A236="","",AND('03_EXECUTION_LOG'!F236="success",INDEX('02_TASK_CATALOG'!J:J,MATCH(C236,'02_TASK_CATALOG'!A:A,0))=TRUE,H236&gt;0,J236&gt;0,'03_EXECUTION_LOG'!J236&lt;&gt;""))</f>
        <v>0</v>
      </c>
      <c r="M236" t="str">
        <f>IF(A236="","",IF('03_EXECUTION_LOG'!F236&lt;&gt;"success","non-success status",IF(INDEX('02_TASK_CATALOG'!J:J,MATCH(C236,'02_TASK_CATALOG'!A:A,0))&lt;&gt;TRUE,"task not approved",IF(H236&lt;=0,"no net time saved",IF(J236&lt;=0,"missing labor rate",IF('03_EXECUTION_LOG'!J236="","missing evidence",""))))))</f>
        <v/>
      </c>
      <c r="N236" t="str">
        <f>IF(A236="","",IF(AND(L236=TRUE,'03_EXECUTION_LOG'!I236=FALSE),"high",IF(AND(L236=TRUE,'03_EXECUTION_LOG'!I236=TRUE),"medium","low")))</f>
        <v/>
      </c>
      <c r="O236" t="str">
        <f>IF(A236="","",IF(AND(L236=TRUE,'03_EXECUTION_LOG'!J236&lt;&gt;""),"yes","needs-review"))</f>
        <v/>
      </c>
    </row>
    <row r="237">
      <c r="A237" t="str">
        <f>IF('03_EXECUTION_LOG'!A237="","",'03_EXECUTION_LOG'!A237)</f>
        <v/>
      </c>
      <c r="B237" t="str">
        <f>IF('03_EXECUTION_LOG'!B237="","",LEFT('03_EXECUTION_LOG'!B237,7))</f>
        <v/>
      </c>
      <c r="C237" t="str">
        <f>IF('03_EXECUTION_LOG'!E237="","",'03_EXECUTION_LOG'!E237)</f>
        <v/>
      </c>
      <c r="D237" t="str">
        <f>IF(C237="","",INDEX('02_TASK_CATALOG'!E:E,MATCH(C237,'02_TASK_CATALOG'!A:A,0)))</f>
        <v/>
      </c>
      <c r="E237">
        <f>IF(C237="","",INDEX('02_TASK_CATALOG'!F:F,MATCH(C237,'02_TASK_CATALOG'!A:A,0)))</f>
        <v>0</v>
      </c>
      <c r="F237">
        <f>IF(C237="","",INDEX('02_TASK_CATALOG'!G:G,MATCH(C237,'02_TASK_CATALOG'!A:A,0)))</f>
        <v>0</v>
      </c>
      <c r="G237">
        <f>IF(C237="","",INDEX('02_TASK_CATALOG'!H:H,MATCH(C237,'02_TASK_CATALOG'!A:A,0)))</f>
        <v>0</v>
      </c>
      <c r="H237">
        <f>IF(A237="","",MAX(0,E237-F237-G237))</f>
        <v>0</v>
      </c>
      <c r="I237">
        <f>IF(A237="","",H237*IF('03_EXECUTION_LOG'!H237="",1,'03_EXECUTION_LOG'!H237)/60)</f>
        <v>0</v>
      </c>
      <c r="J237">
        <f>IF(D237="","",INDEX('01_ASSUMPTIONS'!C:C,MATCH(D237,'01_ASSUMPTIONS'!A:A,0)))</f>
        <v>0</v>
      </c>
      <c r="K237">
        <f>IF(OR(A237="",L237&lt;&gt;TRUE),0,I237*J237)</f>
        <v>0</v>
      </c>
      <c r="L237" t="b">
        <f>IF(A237="","",AND('03_EXECUTION_LOG'!F237="success",INDEX('02_TASK_CATALOG'!J:J,MATCH(C237,'02_TASK_CATALOG'!A:A,0))=TRUE,H237&gt;0,J237&gt;0,'03_EXECUTION_LOG'!J237&lt;&gt;""))</f>
        <v>0</v>
      </c>
      <c r="M237" t="str">
        <f>IF(A237="","",IF('03_EXECUTION_LOG'!F237&lt;&gt;"success","non-success status",IF(INDEX('02_TASK_CATALOG'!J:J,MATCH(C237,'02_TASK_CATALOG'!A:A,0))&lt;&gt;TRUE,"task not approved",IF(H237&lt;=0,"no net time saved",IF(J237&lt;=0,"missing labor rate",IF('03_EXECUTION_LOG'!J237="","missing evidence",""))))))</f>
        <v/>
      </c>
      <c r="N237" t="str">
        <f>IF(A237="","",IF(AND(L237=TRUE,'03_EXECUTION_LOG'!I237=FALSE),"high",IF(AND(L237=TRUE,'03_EXECUTION_LOG'!I237=TRUE),"medium","low")))</f>
        <v/>
      </c>
      <c r="O237" t="str">
        <f>IF(A237="","",IF(AND(L237=TRUE,'03_EXECUTION_LOG'!J237&lt;&gt;""),"yes","needs-review"))</f>
        <v/>
      </c>
    </row>
    <row r="238">
      <c r="A238" t="str">
        <f>IF('03_EXECUTION_LOG'!A238="","",'03_EXECUTION_LOG'!A238)</f>
        <v/>
      </c>
      <c r="B238" t="str">
        <f>IF('03_EXECUTION_LOG'!B238="","",LEFT('03_EXECUTION_LOG'!B238,7))</f>
        <v/>
      </c>
      <c r="C238" t="str">
        <f>IF('03_EXECUTION_LOG'!E238="","",'03_EXECUTION_LOG'!E238)</f>
        <v/>
      </c>
      <c r="D238" t="str">
        <f>IF(C238="","",INDEX('02_TASK_CATALOG'!E:E,MATCH(C238,'02_TASK_CATALOG'!A:A,0)))</f>
        <v/>
      </c>
      <c r="E238">
        <f>IF(C238="","",INDEX('02_TASK_CATALOG'!F:F,MATCH(C238,'02_TASK_CATALOG'!A:A,0)))</f>
        <v>0</v>
      </c>
      <c r="F238">
        <f>IF(C238="","",INDEX('02_TASK_CATALOG'!G:G,MATCH(C238,'02_TASK_CATALOG'!A:A,0)))</f>
        <v>0</v>
      </c>
      <c r="G238">
        <f>IF(C238="","",INDEX('02_TASK_CATALOG'!H:H,MATCH(C238,'02_TASK_CATALOG'!A:A,0)))</f>
        <v>0</v>
      </c>
      <c r="H238">
        <f>IF(A238="","",MAX(0,E238-F238-G238))</f>
        <v>0</v>
      </c>
      <c r="I238">
        <f>IF(A238="","",H238*IF('03_EXECUTION_LOG'!H238="",1,'03_EXECUTION_LOG'!H238)/60)</f>
        <v>0</v>
      </c>
      <c r="J238">
        <f>IF(D238="","",INDEX('01_ASSUMPTIONS'!C:C,MATCH(D238,'01_ASSUMPTIONS'!A:A,0)))</f>
        <v>0</v>
      </c>
      <c r="K238">
        <f>IF(OR(A238="",L238&lt;&gt;TRUE),0,I238*J238)</f>
        <v>0</v>
      </c>
      <c r="L238" t="b">
        <f>IF(A238="","",AND('03_EXECUTION_LOG'!F238="success",INDEX('02_TASK_CATALOG'!J:J,MATCH(C238,'02_TASK_CATALOG'!A:A,0))=TRUE,H238&gt;0,J238&gt;0,'03_EXECUTION_LOG'!J238&lt;&gt;""))</f>
        <v>0</v>
      </c>
      <c r="M238" t="str">
        <f>IF(A238="","",IF('03_EXECUTION_LOG'!F238&lt;&gt;"success","non-success status",IF(INDEX('02_TASK_CATALOG'!J:J,MATCH(C238,'02_TASK_CATALOG'!A:A,0))&lt;&gt;TRUE,"task not approved",IF(H238&lt;=0,"no net time saved",IF(J238&lt;=0,"missing labor rate",IF('03_EXECUTION_LOG'!J238="","missing evidence",""))))))</f>
        <v/>
      </c>
      <c r="N238" t="str">
        <f>IF(A238="","",IF(AND(L238=TRUE,'03_EXECUTION_LOG'!I238=FALSE),"high",IF(AND(L238=TRUE,'03_EXECUTION_LOG'!I238=TRUE),"medium","low")))</f>
        <v/>
      </c>
      <c r="O238" t="str">
        <f>IF(A238="","",IF(AND(L238=TRUE,'03_EXECUTION_LOG'!J238&lt;&gt;""),"yes","needs-review"))</f>
        <v/>
      </c>
    </row>
    <row r="239">
      <c r="A239" t="str">
        <f>IF('03_EXECUTION_LOG'!A239="","",'03_EXECUTION_LOG'!A239)</f>
        <v/>
      </c>
      <c r="B239" t="str">
        <f>IF('03_EXECUTION_LOG'!B239="","",LEFT('03_EXECUTION_LOG'!B239,7))</f>
        <v/>
      </c>
      <c r="C239" t="str">
        <f>IF('03_EXECUTION_LOG'!E239="","",'03_EXECUTION_LOG'!E239)</f>
        <v/>
      </c>
      <c r="D239" t="str">
        <f>IF(C239="","",INDEX('02_TASK_CATALOG'!E:E,MATCH(C239,'02_TASK_CATALOG'!A:A,0)))</f>
        <v/>
      </c>
      <c r="E239">
        <f>IF(C239="","",INDEX('02_TASK_CATALOG'!F:F,MATCH(C239,'02_TASK_CATALOG'!A:A,0)))</f>
        <v>0</v>
      </c>
      <c r="F239">
        <f>IF(C239="","",INDEX('02_TASK_CATALOG'!G:G,MATCH(C239,'02_TASK_CATALOG'!A:A,0)))</f>
        <v>0</v>
      </c>
      <c r="G239">
        <f>IF(C239="","",INDEX('02_TASK_CATALOG'!H:H,MATCH(C239,'02_TASK_CATALOG'!A:A,0)))</f>
        <v>0</v>
      </c>
      <c r="H239">
        <f>IF(A239="","",MAX(0,E239-F239-G239))</f>
        <v>0</v>
      </c>
      <c r="I239">
        <f>IF(A239="","",H239*IF('03_EXECUTION_LOG'!H239="",1,'03_EXECUTION_LOG'!H239)/60)</f>
        <v>0</v>
      </c>
      <c r="J239">
        <f>IF(D239="","",INDEX('01_ASSUMPTIONS'!C:C,MATCH(D239,'01_ASSUMPTIONS'!A:A,0)))</f>
        <v>0</v>
      </c>
      <c r="K239">
        <f>IF(OR(A239="",L239&lt;&gt;TRUE),0,I239*J239)</f>
        <v>0</v>
      </c>
      <c r="L239" t="b">
        <f>IF(A239="","",AND('03_EXECUTION_LOG'!F239="success",INDEX('02_TASK_CATALOG'!J:J,MATCH(C239,'02_TASK_CATALOG'!A:A,0))=TRUE,H239&gt;0,J239&gt;0,'03_EXECUTION_LOG'!J239&lt;&gt;""))</f>
        <v>0</v>
      </c>
      <c r="M239" t="str">
        <f>IF(A239="","",IF('03_EXECUTION_LOG'!F239&lt;&gt;"success","non-success status",IF(INDEX('02_TASK_CATALOG'!J:J,MATCH(C239,'02_TASK_CATALOG'!A:A,0))&lt;&gt;TRUE,"task not approved",IF(H239&lt;=0,"no net time saved",IF(J239&lt;=0,"missing labor rate",IF('03_EXECUTION_LOG'!J239="","missing evidence",""))))))</f>
        <v/>
      </c>
      <c r="N239" t="str">
        <f>IF(A239="","",IF(AND(L239=TRUE,'03_EXECUTION_LOG'!I239=FALSE),"high",IF(AND(L239=TRUE,'03_EXECUTION_LOG'!I239=TRUE),"medium","low")))</f>
        <v/>
      </c>
      <c r="O239" t="str">
        <f>IF(A239="","",IF(AND(L239=TRUE,'03_EXECUTION_LOG'!J239&lt;&gt;""),"yes","needs-review"))</f>
        <v/>
      </c>
    </row>
    <row r="240">
      <c r="A240" t="str">
        <f>IF('03_EXECUTION_LOG'!A240="","",'03_EXECUTION_LOG'!A240)</f>
        <v/>
      </c>
      <c r="B240" t="str">
        <f>IF('03_EXECUTION_LOG'!B240="","",LEFT('03_EXECUTION_LOG'!B240,7))</f>
        <v/>
      </c>
      <c r="C240" t="str">
        <f>IF('03_EXECUTION_LOG'!E240="","",'03_EXECUTION_LOG'!E240)</f>
        <v/>
      </c>
      <c r="D240" t="str">
        <f>IF(C240="","",INDEX('02_TASK_CATALOG'!E:E,MATCH(C240,'02_TASK_CATALOG'!A:A,0)))</f>
        <v/>
      </c>
      <c r="E240">
        <f>IF(C240="","",INDEX('02_TASK_CATALOG'!F:F,MATCH(C240,'02_TASK_CATALOG'!A:A,0)))</f>
        <v>0</v>
      </c>
      <c r="F240">
        <f>IF(C240="","",INDEX('02_TASK_CATALOG'!G:G,MATCH(C240,'02_TASK_CATALOG'!A:A,0)))</f>
        <v>0</v>
      </c>
      <c r="G240">
        <f>IF(C240="","",INDEX('02_TASK_CATALOG'!H:H,MATCH(C240,'02_TASK_CATALOG'!A:A,0)))</f>
        <v>0</v>
      </c>
      <c r="H240">
        <f>IF(A240="","",MAX(0,E240-F240-G240))</f>
        <v>0</v>
      </c>
      <c r="I240">
        <f>IF(A240="","",H240*IF('03_EXECUTION_LOG'!H240="",1,'03_EXECUTION_LOG'!H240)/60)</f>
        <v>0</v>
      </c>
      <c r="J240">
        <f>IF(D240="","",INDEX('01_ASSUMPTIONS'!C:C,MATCH(D240,'01_ASSUMPTIONS'!A:A,0)))</f>
        <v>0</v>
      </c>
      <c r="K240">
        <f>IF(OR(A240="",L240&lt;&gt;TRUE),0,I240*J240)</f>
        <v>0</v>
      </c>
      <c r="L240" t="b">
        <f>IF(A240="","",AND('03_EXECUTION_LOG'!F240="success",INDEX('02_TASK_CATALOG'!J:J,MATCH(C240,'02_TASK_CATALOG'!A:A,0))=TRUE,H240&gt;0,J240&gt;0,'03_EXECUTION_LOG'!J240&lt;&gt;""))</f>
        <v>0</v>
      </c>
      <c r="M240" t="str">
        <f>IF(A240="","",IF('03_EXECUTION_LOG'!F240&lt;&gt;"success","non-success status",IF(INDEX('02_TASK_CATALOG'!J:J,MATCH(C240,'02_TASK_CATALOG'!A:A,0))&lt;&gt;TRUE,"task not approved",IF(H240&lt;=0,"no net time saved",IF(J240&lt;=0,"missing labor rate",IF('03_EXECUTION_LOG'!J240="","missing evidence",""))))))</f>
        <v/>
      </c>
      <c r="N240" t="str">
        <f>IF(A240="","",IF(AND(L240=TRUE,'03_EXECUTION_LOG'!I240=FALSE),"high",IF(AND(L240=TRUE,'03_EXECUTION_LOG'!I240=TRUE),"medium","low")))</f>
        <v/>
      </c>
      <c r="O240" t="str">
        <f>IF(A240="","",IF(AND(L240=TRUE,'03_EXECUTION_LOG'!J240&lt;&gt;""),"yes","needs-review"))</f>
        <v/>
      </c>
    </row>
    <row r="241">
      <c r="A241" t="str">
        <f>IF('03_EXECUTION_LOG'!A241="","",'03_EXECUTION_LOG'!A241)</f>
        <v/>
      </c>
      <c r="B241" t="str">
        <f>IF('03_EXECUTION_LOG'!B241="","",LEFT('03_EXECUTION_LOG'!B241,7))</f>
        <v/>
      </c>
      <c r="C241" t="str">
        <f>IF('03_EXECUTION_LOG'!E241="","",'03_EXECUTION_LOG'!E241)</f>
        <v/>
      </c>
      <c r="D241" t="str">
        <f>IF(C241="","",INDEX('02_TASK_CATALOG'!E:E,MATCH(C241,'02_TASK_CATALOG'!A:A,0)))</f>
        <v/>
      </c>
      <c r="E241">
        <f>IF(C241="","",INDEX('02_TASK_CATALOG'!F:F,MATCH(C241,'02_TASK_CATALOG'!A:A,0)))</f>
        <v>0</v>
      </c>
      <c r="F241">
        <f>IF(C241="","",INDEX('02_TASK_CATALOG'!G:G,MATCH(C241,'02_TASK_CATALOG'!A:A,0)))</f>
        <v>0</v>
      </c>
      <c r="G241">
        <f>IF(C241="","",INDEX('02_TASK_CATALOG'!H:H,MATCH(C241,'02_TASK_CATALOG'!A:A,0)))</f>
        <v>0</v>
      </c>
      <c r="H241">
        <f>IF(A241="","",MAX(0,E241-F241-G241))</f>
        <v>0</v>
      </c>
      <c r="I241">
        <f>IF(A241="","",H241*IF('03_EXECUTION_LOG'!H241="",1,'03_EXECUTION_LOG'!H241)/60)</f>
        <v>0</v>
      </c>
      <c r="J241">
        <f>IF(D241="","",INDEX('01_ASSUMPTIONS'!C:C,MATCH(D241,'01_ASSUMPTIONS'!A:A,0)))</f>
        <v>0</v>
      </c>
      <c r="K241">
        <f>IF(OR(A241="",L241&lt;&gt;TRUE),0,I241*J241)</f>
        <v>0</v>
      </c>
      <c r="L241" t="b">
        <f>IF(A241="","",AND('03_EXECUTION_LOG'!F241="success",INDEX('02_TASK_CATALOG'!J:J,MATCH(C241,'02_TASK_CATALOG'!A:A,0))=TRUE,H241&gt;0,J241&gt;0,'03_EXECUTION_LOG'!J241&lt;&gt;""))</f>
        <v>0</v>
      </c>
      <c r="M241" t="str">
        <f>IF(A241="","",IF('03_EXECUTION_LOG'!F241&lt;&gt;"success","non-success status",IF(INDEX('02_TASK_CATALOG'!J:J,MATCH(C241,'02_TASK_CATALOG'!A:A,0))&lt;&gt;TRUE,"task not approved",IF(H241&lt;=0,"no net time saved",IF(J241&lt;=0,"missing labor rate",IF('03_EXECUTION_LOG'!J241="","missing evidence",""))))))</f>
        <v/>
      </c>
      <c r="N241" t="str">
        <f>IF(A241="","",IF(AND(L241=TRUE,'03_EXECUTION_LOG'!I241=FALSE),"high",IF(AND(L241=TRUE,'03_EXECUTION_LOG'!I241=TRUE),"medium","low")))</f>
        <v/>
      </c>
      <c r="O241" t="str">
        <f>IF(A241="","",IF(AND(L241=TRUE,'03_EXECUTION_LOG'!J241&lt;&gt;""),"yes","needs-review"))</f>
        <v/>
      </c>
    </row>
    <row r="242">
      <c r="A242" t="str">
        <f>IF('03_EXECUTION_LOG'!A242="","",'03_EXECUTION_LOG'!A242)</f>
        <v/>
      </c>
      <c r="B242" t="str">
        <f>IF('03_EXECUTION_LOG'!B242="","",LEFT('03_EXECUTION_LOG'!B242,7))</f>
        <v/>
      </c>
      <c r="C242" t="str">
        <f>IF('03_EXECUTION_LOG'!E242="","",'03_EXECUTION_LOG'!E242)</f>
        <v/>
      </c>
      <c r="D242" t="str">
        <f>IF(C242="","",INDEX('02_TASK_CATALOG'!E:E,MATCH(C242,'02_TASK_CATALOG'!A:A,0)))</f>
        <v/>
      </c>
      <c r="E242">
        <f>IF(C242="","",INDEX('02_TASK_CATALOG'!F:F,MATCH(C242,'02_TASK_CATALOG'!A:A,0)))</f>
        <v>0</v>
      </c>
      <c r="F242">
        <f>IF(C242="","",INDEX('02_TASK_CATALOG'!G:G,MATCH(C242,'02_TASK_CATALOG'!A:A,0)))</f>
        <v>0</v>
      </c>
      <c r="G242">
        <f>IF(C242="","",INDEX('02_TASK_CATALOG'!H:H,MATCH(C242,'02_TASK_CATALOG'!A:A,0)))</f>
        <v>0</v>
      </c>
      <c r="H242">
        <f>IF(A242="","",MAX(0,E242-F242-G242))</f>
        <v>0</v>
      </c>
      <c r="I242">
        <f>IF(A242="","",H242*IF('03_EXECUTION_LOG'!H242="",1,'03_EXECUTION_LOG'!H242)/60)</f>
        <v>0</v>
      </c>
      <c r="J242">
        <f>IF(D242="","",INDEX('01_ASSUMPTIONS'!C:C,MATCH(D242,'01_ASSUMPTIONS'!A:A,0)))</f>
        <v>0</v>
      </c>
      <c r="K242">
        <f>IF(OR(A242="",L242&lt;&gt;TRUE),0,I242*J242)</f>
        <v>0</v>
      </c>
      <c r="L242" t="b">
        <f>IF(A242="","",AND('03_EXECUTION_LOG'!F242="success",INDEX('02_TASK_CATALOG'!J:J,MATCH(C242,'02_TASK_CATALOG'!A:A,0))=TRUE,H242&gt;0,J242&gt;0,'03_EXECUTION_LOG'!J242&lt;&gt;""))</f>
        <v>0</v>
      </c>
      <c r="M242" t="str">
        <f>IF(A242="","",IF('03_EXECUTION_LOG'!F242&lt;&gt;"success","non-success status",IF(INDEX('02_TASK_CATALOG'!J:J,MATCH(C242,'02_TASK_CATALOG'!A:A,0))&lt;&gt;TRUE,"task not approved",IF(H242&lt;=0,"no net time saved",IF(J242&lt;=0,"missing labor rate",IF('03_EXECUTION_LOG'!J242="","missing evidence",""))))))</f>
        <v/>
      </c>
      <c r="N242" t="str">
        <f>IF(A242="","",IF(AND(L242=TRUE,'03_EXECUTION_LOG'!I242=FALSE),"high",IF(AND(L242=TRUE,'03_EXECUTION_LOG'!I242=TRUE),"medium","low")))</f>
        <v/>
      </c>
      <c r="O242" t="str">
        <f>IF(A242="","",IF(AND(L242=TRUE,'03_EXECUTION_LOG'!J242&lt;&gt;""),"yes","needs-review"))</f>
        <v/>
      </c>
    </row>
    <row r="243">
      <c r="A243" t="str">
        <f>IF('03_EXECUTION_LOG'!A243="","",'03_EXECUTION_LOG'!A243)</f>
        <v/>
      </c>
      <c r="B243" t="str">
        <f>IF('03_EXECUTION_LOG'!B243="","",LEFT('03_EXECUTION_LOG'!B243,7))</f>
        <v/>
      </c>
      <c r="C243" t="str">
        <f>IF('03_EXECUTION_LOG'!E243="","",'03_EXECUTION_LOG'!E243)</f>
        <v/>
      </c>
      <c r="D243" t="str">
        <f>IF(C243="","",INDEX('02_TASK_CATALOG'!E:E,MATCH(C243,'02_TASK_CATALOG'!A:A,0)))</f>
        <v/>
      </c>
      <c r="E243">
        <f>IF(C243="","",INDEX('02_TASK_CATALOG'!F:F,MATCH(C243,'02_TASK_CATALOG'!A:A,0)))</f>
        <v>0</v>
      </c>
      <c r="F243">
        <f>IF(C243="","",INDEX('02_TASK_CATALOG'!G:G,MATCH(C243,'02_TASK_CATALOG'!A:A,0)))</f>
        <v>0</v>
      </c>
      <c r="G243">
        <f>IF(C243="","",INDEX('02_TASK_CATALOG'!H:H,MATCH(C243,'02_TASK_CATALOG'!A:A,0)))</f>
        <v>0</v>
      </c>
      <c r="H243">
        <f>IF(A243="","",MAX(0,E243-F243-G243))</f>
        <v>0</v>
      </c>
      <c r="I243">
        <f>IF(A243="","",H243*IF('03_EXECUTION_LOG'!H243="",1,'03_EXECUTION_LOG'!H243)/60)</f>
        <v>0</v>
      </c>
      <c r="J243">
        <f>IF(D243="","",INDEX('01_ASSUMPTIONS'!C:C,MATCH(D243,'01_ASSUMPTIONS'!A:A,0)))</f>
        <v>0</v>
      </c>
      <c r="K243">
        <f>IF(OR(A243="",L243&lt;&gt;TRUE),0,I243*J243)</f>
        <v>0</v>
      </c>
      <c r="L243" t="b">
        <f>IF(A243="","",AND('03_EXECUTION_LOG'!F243="success",INDEX('02_TASK_CATALOG'!J:J,MATCH(C243,'02_TASK_CATALOG'!A:A,0))=TRUE,H243&gt;0,J243&gt;0,'03_EXECUTION_LOG'!J243&lt;&gt;""))</f>
        <v>0</v>
      </c>
      <c r="M243" t="str">
        <f>IF(A243="","",IF('03_EXECUTION_LOG'!F243&lt;&gt;"success","non-success status",IF(INDEX('02_TASK_CATALOG'!J:J,MATCH(C243,'02_TASK_CATALOG'!A:A,0))&lt;&gt;TRUE,"task not approved",IF(H243&lt;=0,"no net time saved",IF(J243&lt;=0,"missing labor rate",IF('03_EXECUTION_LOG'!J243="","missing evidence",""))))))</f>
        <v/>
      </c>
      <c r="N243" t="str">
        <f>IF(A243="","",IF(AND(L243=TRUE,'03_EXECUTION_LOG'!I243=FALSE),"high",IF(AND(L243=TRUE,'03_EXECUTION_LOG'!I243=TRUE),"medium","low")))</f>
        <v/>
      </c>
      <c r="O243" t="str">
        <f>IF(A243="","",IF(AND(L243=TRUE,'03_EXECUTION_LOG'!J243&lt;&gt;""),"yes","needs-review"))</f>
        <v/>
      </c>
    </row>
    <row r="244">
      <c r="A244" t="str">
        <f>IF('03_EXECUTION_LOG'!A244="","",'03_EXECUTION_LOG'!A244)</f>
        <v/>
      </c>
      <c r="B244" t="str">
        <f>IF('03_EXECUTION_LOG'!B244="","",LEFT('03_EXECUTION_LOG'!B244,7))</f>
        <v/>
      </c>
      <c r="C244" t="str">
        <f>IF('03_EXECUTION_LOG'!E244="","",'03_EXECUTION_LOG'!E244)</f>
        <v/>
      </c>
      <c r="D244" t="str">
        <f>IF(C244="","",INDEX('02_TASK_CATALOG'!E:E,MATCH(C244,'02_TASK_CATALOG'!A:A,0)))</f>
        <v/>
      </c>
      <c r="E244">
        <f>IF(C244="","",INDEX('02_TASK_CATALOG'!F:F,MATCH(C244,'02_TASK_CATALOG'!A:A,0)))</f>
        <v>0</v>
      </c>
      <c r="F244">
        <f>IF(C244="","",INDEX('02_TASK_CATALOG'!G:G,MATCH(C244,'02_TASK_CATALOG'!A:A,0)))</f>
        <v>0</v>
      </c>
      <c r="G244">
        <f>IF(C244="","",INDEX('02_TASK_CATALOG'!H:H,MATCH(C244,'02_TASK_CATALOG'!A:A,0)))</f>
        <v>0</v>
      </c>
      <c r="H244">
        <f>IF(A244="","",MAX(0,E244-F244-G244))</f>
        <v>0</v>
      </c>
      <c r="I244">
        <f>IF(A244="","",H244*IF('03_EXECUTION_LOG'!H244="",1,'03_EXECUTION_LOG'!H244)/60)</f>
        <v>0</v>
      </c>
      <c r="J244">
        <f>IF(D244="","",INDEX('01_ASSUMPTIONS'!C:C,MATCH(D244,'01_ASSUMPTIONS'!A:A,0)))</f>
        <v>0</v>
      </c>
      <c r="K244">
        <f>IF(OR(A244="",L244&lt;&gt;TRUE),0,I244*J244)</f>
        <v>0</v>
      </c>
      <c r="L244" t="b">
        <f>IF(A244="","",AND('03_EXECUTION_LOG'!F244="success",INDEX('02_TASK_CATALOG'!J:J,MATCH(C244,'02_TASK_CATALOG'!A:A,0))=TRUE,H244&gt;0,J244&gt;0,'03_EXECUTION_LOG'!J244&lt;&gt;""))</f>
        <v>0</v>
      </c>
      <c r="M244" t="str">
        <f>IF(A244="","",IF('03_EXECUTION_LOG'!F244&lt;&gt;"success","non-success status",IF(INDEX('02_TASK_CATALOG'!J:J,MATCH(C244,'02_TASK_CATALOG'!A:A,0))&lt;&gt;TRUE,"task not approved",IF(H244&lt;=0,"no net time saved",IF(J244&lt;=0,"missing labor rate",IF('03_EXECUTION_LOG'!J244="","missing evidence",""))))))</f>
        <v/>
      </c>
      <c r="N244" t="str">
        <f>IF(A244="","",IF(AND(L244=TRUE,'03_EXECUTION_LOG'!I244=FALSE),"high",IF(AND(L244=TRUE,'03_EXECUTION_LOG'!I244=TRUE),"medium","low")))</f>
        <v/>
      </c>
      <c r="O244" t="str">
        <f>IF(A244="","",IF(AND(L244=TRUE,'03_EXECUTION_LOG'!J244&lt;&gt;""),"yes","needs-review"))</f>
        <v/>
      </c>
    </row>
    <row r="245">
      <c r="A245" t="str">
        <f>IF('03_EXECUTION_LOG'!A245="","",'03_EXECUTION_LOG'!A245)</f>
        <v/>
      </c>
      <c r="B245" t="str">
        <f>IF('03_EXECUTION_LOG'!B245="","",LEFT('03_EXECUTION_LOG'!B245,7))</f>
        <v/>
      </c>
      <c r="C245" t="str">
        <f>IF('03_EXECUTION_LOG'!E245="","",'03_EXECUTION_LOG'!E245)</f>
        <v/>
      </c>
      <c r="D245" t="str">
        <f>IF(C245="","",INDEX('02_TASK_CATALOG'!E:E,MATCH(C245,'02_TASK_CATALOG'!A:A,0)))</f>
        <v/>
      </c>
      <c r="E245">
        <f>IF(C245="","",INDEX('02_TASK_CATALOG'!F:F,MATCH(C245,'02_TASK_CATALOG'!A:A,0)))</f>
        <v>0</v>
      </c>
      <c r="F245">
        <f>IF(C245="","",INDEX('02_TASK_CATALOG'!G:G,MATCH(C245,'02_TASK_CATALOG'!A:A,0)))</f>
        <v>0</v>
      </c>
      <c r="G245">
        <f>IF(C245="","",INDEX('02_TASK_CATALOG'!H:H,MATCH(C245,'02_TASK_CATALOG'!A:A,0)))</f>
        <v>0</v>
      </c>
      <c r="H245">
        <f>IF(A245="","",MAX(0,E245-F245-G245))</f>
        <v>0</v>
      </c>
      <c r="I245">
        <f>IF(A245="","",H245*IF('03_EXECUTION_LOG'!H245="",1,'03_EXECUTION_LOG'!H245)/60)</f>
        <v>0</v>
      </c>
      <c r="J245">
        <f>IF(D245="","",INDEX('01_ASSUMPTIONS'!C:C,MATCH(D245,'01_ASSUMPTIONS'!A:A,0)))</f>
        <v>0</v>
      </c>
      <c r="K245">
        <f>IF(OR(A245="",L245&lt;&gt;TRUE),0,I245*J245)</f>
        <v>0</v>
      </c>
      <c r="L245" t="b">
        <f>IF(A245="","",AND('03_EXECUTION_LOG'!F245="success",INDEX('02_TASK_CATALOG'!J:J,MATCH(C245,'02_TASK_CATALOG'!A:A,0))=TRUE,H245&gt;0,J245&gt;0,'03_EXECUTION_LOG'!J245&lt;&gt;""))</f>
        <v>0</v>
      </c>
      <c r="M245" t="str">
        <f>IF(A245="","",IF('03_EXECUTION_LOG'!F245&lt;&gt;"success","non-success status",IF(INDEX('02_TASK_CATALOG'!J:J,MATCH(C245,'02_TASK_CATALOG'!A:A,0))&lt;&gt;TRUE,"task not approved",IF(H245&lt;=0,"no net time saved",IF(J245&lt;=0,"missing labor rate",IF('03_EXECUTION_LOG'!J245="","missing evidence",""))))))</f>
        <v/>
      </c>
      <c r="N245" t="str">
        <f>IF(A245="","",IF(AND(L245=TRUE,'03_EXECUTION_LOG'!I245=FALSE),"high",IF(AND(L245=TRUE,'03_EXECUTION_LOG'!I245=TRUE),"medium","low")))</f>
        <v/>
      </c>
      <c r="O245" t="str">
        <f>IF(A245="","",IF(AND(L245=TRUE,'03_EXECUTION_LOG'!J245&lt;&gt;""),"yes","needs-review"))</f>
        <v/>
      </c>
    </row>
    <row r="246">
      <c r="A246" t="str">
        <f>IF('03_EXECUTION_LOG'!A246="","",'03_EXECUTION_LOG'!A246)</f>
        <v/>
      </c>
      <c r="B246" t="str">
        <f>IF('03_EXECUTION_LOG'!B246="","",LEFT('03_EXECUTION_LOG'!B246,7))</f>
        <v/>
      </c>
      <c r="C246" t="str">
        <f>IF('03_EXECUTION_LOG'!E246="","",'03_EXECUTION_LOG'!E246)</f>
        <v/>
      </c>
      <c r="D246" t="str">
        <f>IF(C246="","",INDEX('02_TASK_CATALOG'!E:E,MATCH(C246,'02_TASK_CATALOG'!A:A,0)))</f>
        <v/>
      </c>
      <c r="E246">
        <f>IF(C246="","",INDEX('02_TASK_CATALOG'!F:F,MATCH(C246,'02_TASK_CATALOG'!A:A,0)))</f>
        <v>0</v>
      </c>
      <c r="F246">
        <f>IF(C246="","",INDEX('02_TASK_CATALOG'!G:G,MATCH(C246,'02_TASK_CATALOG'!A:A,0)))</f>
        <v>0</v>
      </c>
      <c r="G246">
        <f>IF(C246="","",INDEX('02_TASK_CATALOG'!H:H,MATCH(C246,'02_TASK_CATALOG'!A:A,0)))</f>
        <v>0</v>
      </c>
      <c r="H246">
        <f>IF(A246="","",MAX(0,E246-F246-G246))</f>
        <v>0</v>
      </c>
      <c r="I246">
        <f>IF(A246="","",H246*IF('03_EXECUTION_LOG'!H246="",1,'03_EXECUTION_LOG'!H246)/60)</f>
        <v>0</v>
      </c>
      <c r="J246">
        <f>IF(D246="","",INDEX('01_ASSUMPTIONS'!C:C,MATCH(D246,'01_ASSUMPTIONS'!A:A,0)))</f>
        <v>0</v>
      </c>
      <c r="K246">
        <f>IF(OR(A246="",L246&lt;&gt;TRUE),0,I246*J246)</f>
        <v>0</v>
      </c>
      <c r="L246" t="b">
        <f>IF(A246="","",AND('03_EXECUTION_LOG'!F246="success",INDEX('02_TASK_CATALOG'!J:J,MATCH(C246,'02_TASK_CATALOG'!A:A,0))=TRUE,H246&gt;0,J246&gt;0,'03_EXECUTION_LOG'!J246&lt;&gt;""))</f>
        <v>0</v>
      </c>
      <c r="M246" t="str">
        <f>IF(A246="","",IF('03_EXECUTION_LOG'!F246&lt;&gt;"success","non-success status",IF(INDEX('02_TASK_CATALOG'!J:J,MATCH(C246,'02_TASK_CATALOG'!A:A,0))&lt;&gt;TRUE,"task not approved",IF(H246&lt;=0,"no net time saved",IF(J246&lt;=0,"missing labor rate",IF('03_EXECUTION_LOG'!J246="","missing evidence",""))))))</f>
        <v/>
      </c>
      <c r="N246" t="str">
        <f>IF(A246="","",IF(AND(L246=TRUE,'03_EXECUTION_LOG'!I246=FALSE),"high",IF(AND(L246=TRUE,'03_EXECUTION_LOG'!I246=TRUE),"medium","low")))</f>
        <v/>
      </c>
      <c r="O246" t="str">
        <f>IF(A246="","",IF(AND(L246=TRUE,'03_EXECUTION_LOG'!J246&lt;&gt;""),"yes","needs-review"))</f>
        <v/>
      </c>
    </row>
    <row r="247">
      <c r="A247" t="str">
        <f>IF('03_EXECUTION_LOG'!A247="","",'03_EXECUTION_LOG'!A247)</f>
        <v/>
      </c>
      <c r="B247" t="str">
        <f>IF('03_EXECUTION_LOG'!B247="","",LEFT('03_EXECUTION_LOG'!B247,7))</f>
        <v/>
      </c>
      <c r="C247" t="str">
        <f>IF('03_EXECUTION_LOG'!E247="","",'03_EXECUTION_LOG'!E247)</f>
        <v/>
      </c>
      <c r="D247" t="str">
        <f>IF(C247="","",INDEX('02_TASK_CATALOG'!E:E,MATCH(C247,'02_TASK_CATALOG'!A:A,0)))</f>
        <v/>
      </c>
      <c r="E247">
        <f>IF(C247="","",INDEX('02_TASK_CATALOG'!F:F,MATCH(C247,'02_TASK_CATALOG'!A:A,0)))</f>
        <v>0</v>
      </c>
      <c r="F247">
        <f>IF(C247="","",INDEX('02_TASK_CATALOG'!G:G,MATCH(C247,'02_TASK_CATALOG'!A:A,0)))</f>
        <v>0</v>
      </c>
      <c r="G247">
        <f>IF(C247="","",INDEX('02_TASK_CATALOG'!H:H,MATCH(C247,'02_TASK_CATALOG'!A:A,0)))</f>
        <v>0</v>
      </c>
      <c r="H247">
        <f>IF(A247="","",MAX(0,E247-F247-G247))</f>
        <v>0</v>
      </c>
      <c r="I247">
        <f>IF(A247="","",H247*IF('03_EXECUTION_LOG'!H247="",1,'03_EXECUTION_LOG'!H247)/60)</f>
        <v>0</v>
      </c>
      <c r="J247">
        <f>IF(D247="","",INDEX('01_ASSUMPTIONS'!C:C,MATCH(D247,'01_ASSUMPTIONS'!A:A,0)))</f>
        <v>0</v>
      </c>
      <c r="K247">
        <f>IF(OR(A247="",L247&lt;&gt;TRUE),0,I247*J247)</f>
        <v>0</v>
      </c>
      <c r="L247" t="b">
        <f>IF(A247="","",AND('03_EXECUTION_LOG'!F247="success",INDEX('02_TASK_CATALOG'!J:J,MATCH(C247,'02_TASK_CATALOG'!A:A,0))=TRUE,H247&gt;0,J247&gt;0,'03_EXECUTION_LOG'!J247&lt;&gt;""))</f>
        <v>0</v>
      </c>
      <c r="M247" t="str">
        <f>IF(A247="","",IF('03_EXECUTION_LOG'!F247&lt;&gt;"success","non-success status",IF(INDEX('02_TASK_CATALOG'!J:J,MATCH(C247,'02_TASK_CATALOG'!A:A,0))&lt;&gt;TRUE,"task not approved",IF(H247&lt;=0,"no net time saved",IF(J247&lt;=0,"missing labor rate",IF('03_EXECUTION_LOG'!J247="","missing evidence",""))))))</f>
        <v/>
      </c>
      <c r="N247" t="str">
        <f>IF(A247="","",IF(AND(L247=TRUE,'03_EXECUTION_LOG'!I247=FALSE),"high",IF(AND(L247=TRUE,'03_EXECUTION_LOG'!I247=TRUE),"medium","low")))</f>
        <v/>
      </c>
      <c r="O247" t="str">
        <f>IF(A247="","",IF(AND(L247=TRUE,'03_EXECUTION_LOG'!J247&lt;&gt;""),"yes","needs-review"))</f>
        <v/>
      </c>
    </row>
    <row r="248">
      <c r="A248" t="str">
        <f>IF('03_EXECUTION_LOG'!A248="","",'03_EXECUTION_LOG'!A248)</f>
        <v/>
      </c>
      <c r="B248" t="str">
        <f>IF('03_EXECUTION_LOG'!B248="","",LEFT('03_EXECUTION_LOG'!B248,7))</f>
        <v/>
      </c>
      <c r="C248" t="str">
        <f>IF('03_EXECUTION_LOG'!E248="","",'03_EXECUTION_LOG'!E248)</f>
        <v/>
      </c>
      <c r="D248" t="str">
        <f>IF(C248="","",INDEX('02_TASK_CATALOG'!E:E,MATCH(C248,'02_TASK_CATALOG'!A:A,0)))</f>
        <v/>
      </c>
      <c r="E248">
        <f>IF(C248="","",INDEX('02_TASK_CATALOG'!F:F,MATCH(C248,'02_TASK_CATALOG'!A:A,0)))</f>
        <v>0</v>
      </c>
      <c r="F248">
        <f>IF(C248="","",INDEX('02_TASK_CATALOG'!G:G,MATCH(C248,'02_TASK_CATALOG'!A:A,0)))</f>
        <v>0</v>
      </c>
      <c r="G248">
        <f>IF(C248="","",INDEX('02_TASK_CATALOG'!H:H,MATCH(C248,'02_TASK_CATALOG'!A:A,0)))</f>
        <v>0</v>
      </c>
      <c r="H248">
        <f>IF(A248="","",MAX(0,E248-F248-G248))</f>
        <v>0</v>
      </c>
      <c r="I248">
        <f>IF(A248="","",H248*IF('03_EXECUTION_LOG'!H248="",1,'03_EXECUTION_LOG'!H248)/60)</f>
        <v>0</v>
      </c>
      <c r="J248">
        <f>IF(D248="","",INDEX('01_ASSUMPTIONS'!C:C,MATCH(D248,'01_ASSUMPTIONS'!A:A,0)))</f>
        <v>0</v>
      </c>
      <c r="K248">
        <f>IF(OR(A248="",L248&lt;&gt;TRUE),0,I248*J248)</f>
        <v>0</v>
      </c>
      <c r="L248" t="b">
        <f>IF(A248="","",AND('03_EXECUTION_LOG'!F248="success",INDEX('02_TASK_CATALOG'!J:J,MATCH(C248,'02_TASK_CATALOG'!A:A,0))=TRUE,H248&gt;0,J248&gt;0,'03_EXECUTION_LOG'!J248&lt;&gt;""))</f>
        <v>0</v>
      </c>
      <c r="M248" t="str">
        <f>IF(A248="","",IF('03_EXECUTION_LOG'!F248&lt;&gt;"success","non-success status",IF(INDEX('02_TASK_CATALOG'!J:J,MATCH(C248,'02_TASK_CATALOG'!A:A,0))&lt;&gt;TRUE,"task not approved",IF(H248&lt;=0,"no net time saved",IF(J248&lt;=0,"missing labor rate",IF('03_EXECUTION_LOG'!J248="","missing evidence",""))))))</f>
        <v/>
      </c>
      <c r="N248" t="str">
        <f>IF(A248="","",IF(AND(L248=TRUE,'03_EXECUTION_LOG'!I248=FALSE),"high",IF(AND(L248=TRUE,'03_EXECUTION_LOG'!I248=TRUE),"medium","low")))</f>
        <v/>
      </c>
      <c r="O248" t="str">
        <f>IF(A248="","",IF(AND(L248=TRUE,'03_EXECUTION_LOG'!J248&lt;&gt;""),"yes","needs-review"))</f>
        <v/>
      </c>
    </row>
    <row r="249">
      <c r="A249" t="str">
        <f>IF('03_EXECUTION_LOG'!A249="","",'03_EXECUTION_LOG'!A249)</f>
        <v/>
      </c>
      <c r="B249" t="str">
        <f>IF('03_EXECUTION_LOG'!B249="","",LEFT('03_EXECUTION_LOG'!B249,7))</f>
        <v/>
      </c>
      <c r="C249" t="str">
        <f>IF('03_EXECUTION_LOG'!E249="","",'03_EXECUTION_LOG'!E249)</f>
        <v/>
      </c>
      <c r="D249" t="str">
        <f>IF(C249="","",INDEX('02_TASK_CATALOG'!E:E,MATCH(C249,'02_TASK_CATALOG'!A:A,0)))</f>
        <v/>
      </c>
      <c r="E249">
        <f>IF(C249="","",INDEX('02_TASK_CATALOG'!F:F,MATCH(C249,'02_TASK_CATALOG'!A:A,0)))</f>
        <v>0</v>
      </c>
      <c r="F249">
        <f>IF(C249="","",INDEX('02_TASK_CATALOG'!G:G,MATCH(C249,'02_TASK_CATALOG'!A:A,0)))</f>
        <v>0</v>
      </c>
      <c r="G249">
        <f>IF(C249="","",INDEX('02_TASK_CATALOG'!H:H,MATCH(C249,'02_TASK_CATALOG'!A:A,0)))</f>
        <v>0</v>
      </c>
      <c r="H249">
        <f>IF(A249="","",MAX(0,E249-F249-G249))</f>
        <v>0</v>
      </c>
      <c r="I249">
        <f>IF(A249="","",H249*IF('03_EXECUTION_LOG'!H249="",1,'03_EXECUTION_LOG'!H249)/60)</f>
        <v>0</v>
      </c>
      <c r="J249">
        <f>IF(D249="","",INDEX('01_ASSUMPTIONS'!C:C,MATCH(D249,'01_ASSUMPTIONS'!A:A,0)))</f>
        <v>0</v>
      </c>
      <c r="K249">
        <f>IF(OR(A249="",L249&lt;&gt;TRUE),0,I249*J249)</f>
        <v>0</v>
      </c>
      <c r="L249" t="b">
        <f>IF(A249="","",AND('03_EXECUTION_LOG'!F249="success",INDEX('02_TASK_CATALOG'!J:J,MATCH(C249,'02_TASK_CATALOG'!A:A,0))=TRUE,H249&gt;0,J249&gt;0,'03_EXECUTION_LOG'!J249&lt;&gt;""))</f>
        <v>0</v>
      </c>
      <c r="M249" t="str">
        <f>IF(A249="","",IF('03_EXECUTION_LOG'!F249&lt;&gt;"success","non-success status",IF(INDEX('02_TASK_CATALOG'!J:J,MATCH(C249,'02_TASK_CATALOG'!A:A,0))&lt;&gt;TRUE,"task not approved",IF(H249&lt;=0,"no net time saved",IF(J249&lt;=0,"missing labor rate",IF('03_EXECUTION_LOG'!J249="","missing evidence",""))))))</f>
        <v/>
      </c>
      <c r="N249" t="str">
        <f>IF(A249="","",IF(AND(L249=TRUE,'03_EXECUTION_LOG'!I249=FALSE),"high",IF(AND(L249=TRUE,'03_EXECUTION_LOG'!I249=TRUE),"medium","low")))</f>
        <v/>
      </c>
      <c r="O249" t="str">
        <f>IF(A249="","",IF(AND(L249=TRUE,'03_EXECUTION_LOG'!J249&lt;&gt;""),"yes","needs-review"))</f>
        <v/>
      </c>
    </row>
    <row r="250">
      <c r="A250" t="str">
        <f>IF('03_EXECUTION_LOG'!A250="","",'03_EXECUTION_LOG'!A250)</f>
        <v/>
      </c>
      <c r="B250" t="str">
        <f>IF('03_EXECUTION_LOG'!B250="","",LEFT('03_EXECUTION_LOG'!B250,7))</f>
        <v/>
      </c>
      <c r="C250" t="str">
        <f>IF('03_EXECUTION_LOG'!E250="","",'03_EXECUTION_LOG'!E250)</f>
        <v/>
      </c>
      <c r="D250" t="str">
        <f>IF(C250="","",INDEX('02_TASK_CATALOG'!E:E,MATCH(C250,'02_TASK_CATALOG'!A:A,0)))</f>
        <v/>
      </c>
      <c r="E250">
        <f>IF(C250="","",INDEX('02_TASK_CATALOG'!F:F,MATCH(C250,'02_TASK_CATALOG'!A:A,0)))</f>
        <v>0</v>
      </c>
      <c r="F250">
        <f>IF(C250="","",INDEX('02_TASK_CATALOG'!G:G,MATCH(C250,'02_TASK_CATALOG'!A:A,0)))</f>
        <v>0</v>
      </c>
      <c r="G250">
        <f>IF(C250="","",INDEX('02_TASK_CATALOG'!H:H,MATCH(C250,'02_TASK_CATALOG'!A:A,0)))</f>
        <v>0</v>
      </c>
      <c r="H250">
        <f>IF(A250="","",MAX(0,E250-F250-G250))</f>
        <v>0</v>
      </c>
      <c r="I250">
        <f>IF(A250="","",H250*IF('03_EXECUTION_LOG'!H250="",1,'03_EXECUTION_LOG'!H250)/60)</f>
        <v>0</v>
      </c>
      <c r="J250">
        <f>IF(D250="","",INDEX('01_ASSUMPTIONS'!C:C,MATCH(D250,'01_ASSUMPTIONS'!A:A,0)))</f>
        <v>0</v>
      </c>
      <c r="K250">
        <f>IF(OR(A250="",L250&lt;&gt;TRUE),0,I250*J250)</f>
        <v>0</v>
      </c>
      <c r="L250" t="b">
        <f>IF(A250="","",AND('03_EXECUTION_LOG'!F250="success",INDEX('02_TASK_CATALOG'!J:J,MATCH(C250,'02_TASK_CATALOG'!A:A,0))=TRUE,H250&gt;0,J250&gt;0,'03_EXECUTION_LOG'!J250&lt;&gt;""))</f>
        <v>0</v>
      </c>
      <c r="M250" t="str">
        <f>IF(A250="","",IF('03_EXECUTION_LOG'!F250&lt;&gt;"success","non-success status",IF(INDEX('02_TASK_CATALOG'!J:J,MATCH(C250,'02_TASK_CATALOG'!A:A,0))&lt;&gt;TRUE,"task not approved",IF(H250&lt;=0,"no net time saved",IF(J250&lt;=0,"missing labor rate",IF('03_EXECUTION_LOG'!J250="","missing evidence",""))))))</f>
        <v/>
      </c>
      <c r="N250" t="str">
        <f>IF(A250="","",IF(AND(L250=TRUE,'03_EXECUTION_LOG'!I250=FALSE),"high",IF(AND(L250=TRUE,'03_EXECUTION_LOG'!I250=TRUE),"medium","low")))</f>
        <v/>
      </c>
      <c r="O250" t="str">
        <f>IF(A250="","",IF(AND(L250=TRUE,'03_EXECUTION_LOG'!J250&lt;&gt;""),"yes","needs-review"))</f>
        <v/>
      </c>
    </row>
    <row r="251">
      <c r="A251" t="str">
        <f>IF('03_EXECUTION_LOG'!A251="","",'03_EXECUTION_LOG'!A251)</f>
        <v/>
      </c>
      <c r="B251" t="str">
        <f>IF('03_EXECUTION_LOG'!B251="","",LEFT('03_EXECUTION_LOG'!B251,7))</f>
        <v/>
      </c>
      <c r="C251" t="str">
        <f>IF('03_EXECUTION_LOG'!E251="","",'03_EXECUTION_LOG'!E251)</f>
        <v/>
      </c>
      <c r="D251" t="str">
        <f>IF(C251="","",INDEX('02_TASK_CATALOG'!E:E,MATCH(C251,'02_TASK_CATALOG'!A:A,0)))</f>
        <v/>
      </c>
      <c r="E251">
        <f>IF(C251="","",INDEX('02_TASK_CATALOG'!F:F,MATCH(C251,'02_TASK_CATALOG'!A:A,0)))</f>
        <v>0</v>
      </c>
      <c r="F251">
        <f>IF(C251="","",INDEX('02_TASK_CATALOG'!G:G,MATCH(C251,'02_TASK_CATALOG'!A:A,0)))</f>
        <v>0</v>
      </c>
      <c r="G251">
        <f>IF(C251="","",INDEX('02_TASK_CATALOG'!H:H,MATCH(C251,'02_TASK_CATALOG'!A:A,0)))</f>
        <v>0</v>
      </c>
      <c r="H251">
        <f>IF(A251="","",MAX(0,E251-F251-G251))</f>
        <v>0</v>
      </c>
      <c r="I251">
        <f>IF(A251="","",H251*IF('03_EXECUTION_LOG'!H251="",1,'03_EXECUTION_LOG'!H251)/60)</f>
        <v>0</v>
      </c>
      <c r="J251">
        <f>IF(D251="","",INDEX('01_ASSUMPTIONS'!C:C,MATCH(D251,'01_ASSUMPTIONS'!A:A,0)))</f>
        <v>0</v>
      </c>
      <c r="K251">
        <f>IF(OR(A251="",L251&lt;&gt;TRUE),0,I251*J251)</f>
        <v>0</v>
      </c>
      <c r="L251" t="b">
        <f>IF(A251="","",AND('03_EXECUTION_LOG'!F251="success",INDEX('02_TASK_CATALOG'!J:J,MATCH(C251,'02_TASK_CATALOG'!A:A,0))=TRUE,H251&gt;0,J251&gt;0,'03_EXECUTION_LOG'!J251&lt;&gt;""))</f>
        <v>0</v>
      </c>
      <c r="M251" t="str">
        <f>IF(A251="","",IF('03_EXECUTION_LOG'!F251&lt;&gt;"success","non-success status",IF(INDEX('02_TASK_CATALOG'!J:J,MATCH(C251,'02_TASK_CATALOG'!A:A,0))&lt;&gt;TRUE,"task not approved",IF(H251&lt;=0,"no net time saved",IF(J251&lt;=0,"missing labor rate",IF('03_EXECUTION_LOG'!J251="","missing evidence",""))))))</f>
        <v/>
      </c>
      <c r="N251" t="str">
        <f>IF(A251="","",IF(AND(L251=TRUE,'03_EXECUTION_LOG'!I251=FALSE),"high",IF(AND(L251=TRUE,'03_EXECUTION_LOG'!I251=TRUE),"medium","low")))</f>
        <v/>
      </c>
      <c r="O251" t="str">
        <f>IF(A251="","",IF(AND(L251=TRUE,'03_EXECUTION_LOG'!J251&lt;&gt;""),"yes","needs-review"))</f>
        <v/>
      </c>
    </row>
  </sheetData>
</worksheet>
</file>

<file path=xl/worksheets/sheet6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cost_id</t>
        </is>
      </c>
      <c r="B1" t="inlineStr" s="1">
        <is>
          <t>category</t>
        </is>
      </c>
      <c r="C1" t="inlineStr" s="1">
        <is>
          <t>cost_type</t>
        </is>
      </c>
      <c r="D1" t="inlineStr" s="1">
        <is>
          <t>description</t>
        </is>
      </c>
      <c r="E1" t="inlineStr" s="1">
        <is>
          <t>billing_frequency</t>
        </is>
      </c>
      <c r="F1" t="inlineStr" s="1">
        <is>
          <t>monthly_cost</t>
        </is>
      </c>
      <c r="G1" t="inlineStr" s="1">
        <is>
          <t>one_time_cost</t>
        </is>
      </c>
      <c r="H1" t="inlineStr" s="1">
        <is>
          <t>owner</t>
        </is>
      </c>
      <c r="I1" t="inlineStr" s="1">
        <is>
          <t>notes</t>
        </is>
      </c>
    </row>
    <row r="2">
      <c r="A2" t="inlineStr">
        <is>
          <t>platform_infisical</t>
        </is>
      </c>
      <c r="B2" t="inlineStr">
        <is>
          <t>platform</t>
        </is>
      </c>
      <c r="C2" t="inlineStr">
        <is>
          <t>recurring</t>
        </is>
      </c>
      <c r="D2" t="inlineStr">
        <is>
          <t>SecretOps platform subscription</t>
        </is>
      </c>
      <c r="E2" t="inlineStr">
        <is>
          <t>monthly</t>
        </is>
      </c>
      <c r="F2">
        <v>250</v>
      </c>
      <c r="G2">
        <v>0</v>
      </c>
      <c r="H2" t="inlineStr">
        <is>
          <t>Ops lead</t>
        </is>
      </c>
      <c r="I2" t="inlineStr">
        <is>
          <t>Illustrative example row</t>
        </is>
      </c>
    </row>
    <row r="3">
      <c r="A3" t="inlineStr">
        <is>
          <t>orchestrator_hosting</t>
        </is>
      </c>
      <c r="B3" t="inlineStr">
        <is>
          <t>platform</t>
        </is>
      </c>
      <c r="C3" t="inlineStr">
        <is>
          <t>recurring</t>
        </is>
      </c>
      <c r="D3" t="inlineStr">
        <is>
          <t>Container and orchestration hosting</t>
        </is>
      </c>
      <c r="E3" t="inlineStr">
        <is>
          <t>monthly</t>
        </is>
      </c>
      <c r="F3">
        <v>300</v>
      </c>
      <c r="G3">
        <v>0</v>
      </c>
      <c r="H3" t="inlineStr">
        <is>
          <t>Ops lead</t>
        </is>
      </c>
      <c r="I3" t="inlineStr">
        <is>
          <t>Illustrative example row</t>
        </is>
      </c>
    </row>
    <row r="4">
      <c r="A4" t="inlineStr">
        <is>
          <t>rollout_enablement</t>
        </is>
      </c>
      <c r="B4" t="inlineStr">
        <is>
          <t>implementation</t>
        </is>
      </c>
      <c r="C4" t="inlineStr">
        <is>
          <t>one-time</t>
        </is>
      </c>
      <c r="D4" t="inlineStr">
        <is>
          <t>Initial workflow implementation and setup</t>
        </is>
      </c>
      <c r="E4" t="inlineStr">
        <is>
          <t>one-time</t>
        </is>
      </c>
      <c r="F4">
        <v>0</v>
      </c>
      <c r="G4">
        <v>4500</v>
      </c>
      <c r="H4" t="inlineStr">
        <is>
          <t>Program lead</t>
        </is>
      </c>
      <c r="I4" t="inlineStr">
        <is>
          <t>Illustrative example row</t>
        </is>
      </c>
    </row>
    <row r="5">
      <c r="A5" t="inlineStr">
        <is>
          <t>managed_service_support</t>
        </is>
      </c>
      <c r="B5" t="inlineStr">
        <is>
          <t>managed_service</t>
        </is>
      </c>
      <c r="C5" t="inlineStr">
        <is>
          <t>recurring</t>
        </is>
      </c>
      <c r="D5" t="inlineStr">
        <is>
          <t>Ongoing operator tuning and support</t>
        </is>
      </c>
      <c r="E5" t="inlineStr">
        <is>
          <t>monthly</t>
        </is>
      </c>
      <c r="F5">
        <v>1200</v>
      </c>
      <c r="G5">
        <v>0</v>
      </c>
      <c r="H5" t="inlineStr">
        <is>
          <t>Service owner</t>
        </is>
      </c>
      <c r="I5" t="inlineStr">
        <is>
          <t>Illustrative example row</t>
        </is>
      </c>
    </row>
    <row r="6">
      <c r="A6" t="inlineStr">
        <is>
          <t>training_enablement</t>
        </is>
      </c>
      <c r="B6" t="inlineStr">
        <is>
          <t>training</t>
        </is>
      </c>
      <c r="C6" t="inlineStr">
        <is>
          <t>one-time</t>
        </is>
      </c>
      <c r="D6" t="inlineStr">
        <is>
          <t>Governance and team enablement</t>
        </is>
      </c>
      <c r="E6" t="inlineStr">
        <is>
          <t>one-time</t>
        </is>
      </c>
      <c r="F6">
        <v>0</v>
      </c>
      <c r="G6">
        <v>1500</v>
      </c>
      <c r="H6" t="inlineStr">
        <is>
          <t>Learning owner</t>
        </is>
      </c>
      <c r="I6" t="inlineStr">
        <is>
          <t>Illustrative example row</t>
        </is>
      </c>
    </row>
  </sheetData>
</worksheet>
</file>

<file path=xl/worksheets/sheet7.xml><?xml version="1.0" encoding="utf-8"?>
<worksheet xmlns="http://schemas.openxmlformats.org/spreadsheetml/2006/main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Notes</t>
        </is>
      </c>
    </row>
    <row r="2">
      <c r="A2" t="inlineStr">
        <is>
          <t>selected_month</t>
        </is>
      </c>
      <c r="B2" t="inlineStr">
        <is>
          <t>2026-04</t>
        </is>
      </c>
      <c r="C2" t="inlineStr">
        <is>
          <t>Update this to review a different month.</t>
        </is>
      </c>
    </row>
    <row r="3">
      <c r="A3" t="inlineStr">
        <is>
          <t>validated_executions</t>
        </is>
      </c>
      <c r="B3">
        <f>COUNTIFS('04_ROI_AUDIT'!L:L,TRUE,'04_ROI_AUDIT'!B:B,B2)</f>
        <v>0</v>
      </c>
      <c r="C3" t="inlineStr">
        <is>
          <t>Included rows for the selected month.</t>
        </is>
      </c>
    </row>
    <row r="4">
      <c r="A4" t="inlineStr">
        <is>
          <t>hours_saved_mtd</t>
        </is>
      </c>
      <c r="B4">
        <f>SUMIFS('04_ROI_AUDIT'!I:I,'04_ROI_AUDIT'!B:B,B2,'04_ROI_AUDIT'!L:L,TRUE)</f>
        <v>0</v>
      </c>
      <c r="C4" t="inlineStr">
        <is>
          <t>Hours saved for included rows in the selected month.</t>
        </is>
      </c>
    </row>
    <row r="5">
      <c r="A5" t="inlineStr">
        <is>
          <t>gross_cost_avoidance_mtd</t>
        </is>
      </c>
      <c r="B5">
        <f>SUMIFS('04_ROI_AUDIT'!K:K,'04_ROI_AUDIT'!B:B,B2,'04_ROI_AUDIT'!L:L,TRUE)</f>
        <v>0</v>
      </c>
      <c r="C5" t="inlineStr">
        <is>
          <t>Gross labor-cost avoidance for the selected month.</t>
        </is>
      </c>
    </row>
    <row r="6">
      <c r="A6" t="inlineStr">
        <is>
          <t>operating_cost_mtd</t>
        </is>
      </c>
      <c r="B6">
        <f>SUM('05_INVESTMENT'!F:F)</f>
        <v>0</v>
      </c>
      <c r="C6" t="inlineStr">
        <is>
          <t>Recurring monthly operating cost.</t>
        </is>
      </c>
    </row>
    <row r="7">
      <c r="A7" t="inlineStr">
        <is>
          <t>one_time_cost_total</t>
        </is>
      </c>
      <c r="B7">
        <f>SUM('05_INVESTMENT'!G:G)</f>
        <v>0</v>
      </c>
      <c r="C7" t="inlineStr">
        <is>
          <t>One-time implementation and enablement cost.</t>
        </is>
      </c>
    </row>
    <row r="8">
      <c r="A8" t="inlineStr">
        <is>
          <t>net_benefit_mtd</t>
        </is>
      </c>
      <c r="B8">
        <f>B5-B6</f>
        <v>0</v>
      </c>
      <c r="C8" t="inlineStr">
        <is>
          <t>Gross cost avoidance minus monthly operating cost.</t>
        </is>
      </c>
    </row>
    <row r="9">
      <c r="A9" t="inlineStr">
        <is>
          <t>annualized_net_benefit</t>
        </is>
      </c>
      <c r="B9">
        <f>B8*12</f>
        <v>0</v>
      </c>
      <c r="C9" t="inlineStr">
        <is>
          <t>Simple annualization of the current month net benefit.</t>
        </is>
      </c>
    </row>
    <row r="10">
      <c r="A10" t="inlineStr">
        <is>
          <t>roi_percent</t>
        </is>
      </c>
      <c r="B10">
        <f>IF((B6*12+B7)=0,"",(B5*12-(B6*12+B7))/(B6*12+B7))</f>
        <v>0</v>
      </c>
      <c r="C10" t="inlineStr">
        <is>
          <t>Net ROI after recurring and one-time cost.</t>
        </is>
      </c>
    </row>
    <row r="11">
      <c r="A11" t="inlineStr">
        <is>
          <t>payback_months</t>
        </is>
      </c>
      <c r="B11" t="str">
        <f>IF(B8&lt;=0,"",B7/B8)</f>
        <v/>
      </c>
      <c r="C11" t="inlineStr">
        <is>
          <t>Months required to recover one-time investment.</t>
        </is>
      </c>
    </row>
    <row r="12">
      <c r="A12" t="inlineStr">
        <is>
          <t>top_agent_note</t>
        </is>
      </c>
      <c r="B12" t="inlineStr">
        <is>
          <t>Build a pivot table from 04_ROI_AUDIT grouped by task_id or agent_persona</t>
        </is>
      </c>
      <c r="C12" t="inlineStr">
        <is>
          <t>Charts are best added after upload to Google Sheets.</t>
        </is>
      </c>
    </row>
    <row r="13">
      <c r="A13" t="inlineStr">
        <is>
          <t>excluded_rows</t>
        </is>
      </c>
      <c r="B13">
        <f>COUNTIF('04_ROI_AUDIT'!L:L,FALSE)</f>
        <v>0</v>
      </c>
      <c r="C13" t="inlineStr">
        <is>
          <t>Rows excluded from ROI due to missing evidence, failed status, or missing baseline support.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01_ASSUMPTIONS</vt:lpstr>
      <vt:lpstr>02_TASK_CATALOG</vt:lpstr>
      <vt:lpstr>03_EXECUTION_LOG</vt:lpstr>
      <vt:lpstr>04_ROI_AUDIT</vt:lpstr>
      <vt:lpstr>05_INVESTMENT</vt:lpstr>
      <vt:lpstr>06_DASHBOARD</vt:lpstr>
    </vt:vector>
  </TitlesOfParts>
  <Company>Project NoeMI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Project NoeMI ROI Calculator Template</dc:title>
  <dc:description>Google Sheets compatible ROI calculator workbook for Project NoeMI.</dc:description>
  <dcterms:created xsi:type="dcterms:W3CDTF">2026-04-03T03:39:12Z</dcterms:created>
  <dcterms:modified xsi:type="dcterms:W3CDTF">2026-04-03T03:39:12Z</dcterms:modified>
</cp:coreProperties>
</file>